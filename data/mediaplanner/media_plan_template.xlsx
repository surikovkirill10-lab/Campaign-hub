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showInkAnnotation="0"/>
  <mc:AlternateContent xmlns:mc="http://schemas.openxmlformats.org/markup-compatibility/2006">
    <mc:Choice Requires="x15">
      <x15ac:absPath xmlns:x15ac="http://schemas.microsoft.com/office/spreadsheetml/2010/11/ac" url="/Users/zairasurikova/Desktop/INNOVATION LAB/Расчеты InLab/"/>
    </mc:Choice>
  </mc:AlternateContent>
  <xr:revisionPtr revIDLastSave="0" documentId="8_{F62FC5D1-401B-6C43-9E08-022BFC2BE66E}" xr6:coauthVersionLast="47" xr6:coauthVersionMax="47" xr10:uidLastSave="{00000000-0000-0000-0000-000000000000}"/>
  <bookViews>
    <workbookView xWindow="0" yWindow="500" windowWidth="28800" windowHeight="15800" xr2:uid="{49DF16FE-78C1-8C40-88B7-40396C3C6F11}"/>
  </bookViews>
  <sheets>
    <sheet name="МП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3" l="1"/>
  <c r="H17" i="3"/>
  <c r="J16" i="3"/>
  <c r="J15" i="3"/>
  <c r="AB14" i="3" a="1"/>
  <c r="AB14" i="3" s="1"/>
  <c r="AE14" i="3"/>
  <c r="L15" i="3"/>
  <c r="X15" i="3"/>
  <c r="AB15" i="3" a="1"/>
  <c r="AB15" i="3" s="1"/>
  <c r="L16" i="3"/>
  <c r="X16" i="3"/>
  <c r="Y16" i="3" s="1"/>
  <c r="Z16" i="3" a="1"/>
  <c r="Z16" i="3" s="1"/>
  <c r="AB16" i="3" s="1" a="1"/>
  <c r="AB16" i="3" s="1"/>
  <c r="AE15" i="3" l="1"/>
  <c r="AF15" i="3" s="1"/>
  <c r="AE16" i="3"/>
  <c r="AF16" i="3" s="1"/>
  <c r="L17" i="3"/>
  <c r="Y17" i="3" l="1"/>
  <c r="X17" i="3"/>
  <c r="X4" i="3" s="1"/>
  <c r="X5" i="3" l="1"/>
  <c r="X6" i="3" s="1"/>
</calcChain>
</file>

<file path=xl/sharedStrings.xml><?xml version="1.0" encoding="utf-8"?>
<sst xmlns="http://schemas.openxmlformats.org/spreadsheetml/2006/main" count="99" uniqueCount="83">
  <si>
    <t>Кликов</t>
  </si>
  <si>
    <t>Агентство</t>
  </si>
  <si>
    <t>Показов</t>
  </si>
  <si>
    <t>Skin</t>
  </si>
  <si>
    <t>Итого</t>
  </si>
  <si>
    <t>Досмотров</t>
  </si>
  <si>
    <t>Рекламодатель</t>
  </si>
  <si>
    <t>Стоимость до НДС</t>
  </si>
  <si>
    <t>Бренд</t>
  </si>
  <si>
    <t>НДС</t>
  </si>
  <si>
    <t>Video</t>
  </si>
  <si>
    <t>Название РК</t>
  </si>
  <si>
    <t>Стоимость с НДС</t>
  </si>
  <si>
    <t>Период
размещения</t>
  </si>
  <si>
    <t>Тех.кост за ОРД</t>
  </si>
  <si>
    <t>Менеджер</t>
  </si>
  <si>
    <t>Подготовил</t>
  </si>
  <si>
    <t>Заира Сурикова</t>
  </si>
  <si>
    <t>Дата</t>
  </si>
  <si>
    <t>ID брони</t>
  </si>
  <si>
    <t>Площадка</t>
  </si>
  <si>
    <t>Позиция</t>
  </si>
  <si>
    <t>Гео</t>
  </si>
  <si>
    <t>Место размещения</t>
  </si>
  <si>
    <t>Формат</t>
  </si>
  <si>
    <t>Девайс</t>
  </si>
  <si>
    <t>Тип ротации (для медийных форматов)</t>
  </si>
  <si>
    <t>Объем размещения</t>
  </si>
  <si>
    <t>Период</t>
  </si>
  <si>
    <t>Цена
по прайс-листу</t>
  </si>
  <si>
    <t>Стоимость по прайс-листу до НДС</t>
  </si>
  <si>
    <t>Сезонный коэффициент</t>
  </si>
  <si>
    <t>Наценка за геотаргетинг</t>
  </si>
  <si>
    <t xml:space="preserve">Наценка за таргетинг по ключевым словам </t>
  </si>
  <si>
    <t>Наценка за WL</t>
  </si>
  <si>
    <t>Наценка за соцдем</t>
  </si>
  <si>
    <t>Наценка за поведенческий таргетинг</t>
  </si>
  <si>
    <t>Наценка за ОФД</t>
  </si>
  <si>
    <t>СК</t>
  </si>
  <si>
    <t>Скидка на размещение</t>
  </si>
  <si>
    <t>Стоимость размещения</t>
  </si>
  <si>
    <t>Стоимость размещения с учетом НДС</t>
  </si>
  <si>
    <t xml:space="preserve"> Прогнозные показатели</t>
  </si>
  <si>
    <t xml:space="preserve">VTR,% </t>
  </si>
  <si>
    <t>SOV, %</t>
  </si>
  <si>
    <t>Частота
(max)</t>
  </si>
  <si>
    <t>CTR, %</t>
  </si>
  <si>
    <t>Охват</t>
  </si>
  <si>
    <t>BR%</t>
  </si>
  <si>
    <t>Time</t>
  </si>
  <si>
    <t>Depth</t>
  </si>
  <si>
    <t>Convertions</t>
  </si>
  <si>
    <t>Pi</t>
  </si>
  <si>
    <t>Fraud</t>
  </si>
  <si>
    <t xml:space="preserve">Роботность </t>
  </si>
  <si>
    <t>Innovation Lab</t>
  </si>
  <si>
    <t>РФ</t>
  </si>
  <si>
    <t>Размещение на страницах сайтов, сетевое размещение</t>
  </si>
  <si>
    <t>Кросс-девайс</t>
  </si>
  <si>
    <r>
      <rPr>
        <sz val="14"/>
        <color indexed="8"/>
        <rFont val="Arial"/>
        <family val="2"/>
      </rPr>
      <t>Динамика</t>
    </r>
    <r>
      <rPr>
        <sz val="20"/>
        <color indexed="10"/>
        <rFont val="Arial"/>
        <family val="2"/>
      </rPr>
      <t>*</t>
    </r>
  </si>
  <si>
    <t>&lt;60%</t>
  </si>
  <si>
    <t>По ходу РК</t>
  </si>
  <si>
    <t>от 40%</t>
  </si>
  <si>
    <t>GIVT &lt;3% (Adloox)</t>
  </si>
  <si>
    <t>&lt;10% (Я.метрика)</t>
  </si>
  <si>
    <t>* Закрытие происходит по системе статистики Inlab</t>
  </si>
  <si>
    <t>Ссылка на TT</t>
  </si>
  <si>
    <t xml:space="preserve">https://disk.yandex.ru/i/RA0ys5BmEYhivQ </t>
  </si>
  <si>
    <t>Пакет Native
(in-image + in-read)</t>
  </si>
  <si>
    <t>Пакет Display
(Footer + Page Grabber + banner)</t>
  </si>
  <si>
    <t>Пакет PageGrabber&amp;Co
(Page Grabber + Skin + banner)</t>
  </si>
  <si>
    <t>Page Grabber
(mobile FullScreen)</t>
  </si>
  <si>
    <t>Native Stories</t>
  </si>
  <si>
    <t>in-read</t>
  </si>
  <si>
    <t>Цена, после наценок и скидки</t>
  </si>
  <si>
    <t>15.08.2025</t>
  </si>
  <si>
    <t>Yves Rocher / Face care / oct'25 / Innovation Lab</t>
  </si>
  <si>
    <t>Yves Rocher</t>
  </si>
  <si>
    <t>Face care</t>
  </si>
  <si>
    <t xml:space="preserve">Media Instinct </t>
  </si>
  <si>
    <t>29.09.2025-02.11.2025</t>
  </si>
  <si>
    <t>Арина Дубовицкая</t>
  </si>
  <si>
    <r>
      <t xml:space="preserve">   Размещение на сети сайтов Innovation Lab.
•  </t>
    </r>
    <r>
      <rPr>
        <b/>
        <i/>
        <sz val="14"/>
        <color indexed="8"/>
        <rFont val="Arial"/>
        <family val="2"/>
      </rPr>
      <t xml:space="preserve">Соцдем: </t>
    </r>
    <r>
      <rPr>
        <i/>
        <sz val="14"/>
        <color indexed="8"/>
        <rFont val="Arial"/>
        <family val="2"/>
      </rPr>
      <t xml:space="preserve">Ж 25-35 BC
•  </t>
    </r>
    <r>
      <rPr>
        <b/>
        <i/>
        <sz val="14"/>
        <color indexed="8"/>
        <rFont val="Arial"/>
        <family val="2"/>
      </rPr>
      <t xml:space="preserve">Таргентинги: </t>
    </r>
    <r>
      <rPr>
        <i/>
        <sz val="14"/>
        <color rgb="FF000000"/>
        <rFont val="Arial"/>
        <family val="2"/>
      </rPr>
      <t>красота и уход, косметика, красота и уход в домашних условиях, уход за кожей, онлайн покупатели, мода,стиль, красота, косметика, декоративная косметика для лица, профессиональная косметика для лица, здоровое питание, натуральные продукты и т.д.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</si>
</sst>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&quot;р.&quot;"/>
    <numFmt numFmtId="165" formatCode="#,##0.00_-&quot;р.&quot;"/>
    <numFmt numFmtId="166" formatCode="[$-F400]h:mm:ss\ AM/PM"/>
    <numFmt numFmtId="167" formatCode="0.0%"/>
    <numFmt numFmtId="168" formatCode="#,##0.0"/>
  </numFmts>
  <fonts count="21" x14ac:knownFonts="1">
    <font>
      <sz val="14"/>
      <color rgb="FF000000"/>
      <name val="Arial"/>
      <family val="2"/>
    </font>
    <font>
      <i/>
      <sz val="14"/>
      <color indexed="8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b/>
      <i/>
      <sz val="14"/>
      <color indexed="8"/>
      <name val="Arial"/>
      <family val="2"/>
    </font>
    <font>
      <sz val="20"/>
      <color indexed="10"/>
      <name val="Arial"/>
      <family val="2"/>
    </font>
    <font>
      <sz val="14"/>
      <color rgb="FF000000"/>
      <name val="Arial"/>
      <family val="2"/>
    </font>
    <font>
      <u/>
      <sz val="14"/>
      <color theme="10"/>
      <name val="Arial"/>
      <family val="2"/>
    </font>
    <font>
      <sz val="11"/>
      <color theme="1"/>
      <name val="Calibri"/>
      <family val="2"/>
      <scheme val="minor"/>
    </font>
    <font>
      <i/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theme="1"/>
      <name val="Calibri"/>
      <family val="2"/>
      <scheme val="major"/>
    </font>
    <font>
      <sz val="14"/>
      <color theme="0"/>
      <name val="Arial"/>
      <family val="2"/>
    </font>
    <font>
      <b/>
      <sz val="14"/>
      <color rgb="FFFFFFFF"/>
      <name val="Arial"/>
      <family val="2"/>
    </font>
    <font>
      <i/>
      <sz val="14"/>
      <color theme="1"/>
      <name val="Arial"/>
      <family val="2"/>
    </font>
    <font>
      <i/>
      <sz val="14"/>
      <color rgb="FFFF0000"/>
      <name val="Arial"/>
      <family val="2"/>
    </font>
    <font>
      <sz val="17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5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366092"/>
      </patternFill>
    </fill>
    <fill>
      <patternFill patternType="solid">
        <fgColor theme="1"/>
        <bgColor theme="1"/>
      </patternFill>
    </fill>
    <fill>
      <patternFill patternType="solid">
        <fgColor theme="1"/>
        <bgColor rgb="FFFFFFFF"/>
      </patternFill>
    </fill>
    <fill>
      <patternFill patternType="solid">
        <fgColor theme="4" tint="0.3999450666829432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rgb="FF366092"/>
      </patternFill>
    </fill>
    <fill>
      <patternFill patternType="solid">
        <fgColor theme="9" tint="-0.249977111117893"/>
        <bgColor theme="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theme="1"/>
      </patternFill>
    </fill>
    <fill>
      <patternFill patternType="solid">
        <fgColor theme="8" tint="-0.249977111117893"/>
        <bgColor theme="1"/>
      </patternFill>
    </fill>
    <fill>
      <patternFill patternType="solid">
        <fgColor rgb="FF7030A0"/>
        <bgColor theme="1"/>
      </patternFill>
    </fill>
    <fill>
      <patternFill patternType="solid">
        <fgColor theme="6" tint="-0.499984740745262"/>
        <bgColor theme="1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9"/>
      </left>
      <right/>
      <top style="thin">
        <color theme="1"/>
      </top>
      <bottom style="thin">
        <color theme="9"/>
      </bottom>
      <diagonal/>
    </border>
    <border>
      <left style="thin">
        <color theme="9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94">
    <xf numFmtId="0" fontId="0" fillId="0" borderId="0" xfId="0" applyAlignment="1">
      <alignment vertical="center" wrapText="1"/>
    </xf>
    <xf numFmtId="0" fontId="9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3" xfId="0" applyBorder="1" applyAlignment="1" applyProtection="1">
      <alignment vertical="center" wrapText="1"/>
      <protection locked="0"/>
    </xf>
    <xf numFmtId="0" fontId="10" fillId="2" borderId="0" xfId="0" applyFont="1" applyFill="1" applyAlignment="1" applyProtection="1">
      <alignment vertical="center" wrapText="1"/>
      <protection locked="0"/>
    </xf>
    <xf numFmtId="0" fontId="11" fillId="3" borderId="6" xfId="0" applyFont="1" applyFill="1" applyBorder="1" applyAlignment="1">
      <alignment horizontal="left" vertical="center" wrapText="1" indent="1"/>
    </xf>
    <xf numFmtId="0" fontId="12" fillId="2" borderId="6" xfId="0" applyFont="1" applyFill="1" applyBorder="1" applyAlignment="1" applyProtection="1">
      <alignment horizontal="left" vertical="center" wrapText="1" indent="1"/>
      <protection locked="0"/>
    </xf>
    <xf numFmtId="49" fontId="12" fillId="2" borderId="6" xfId="0" applyNumberFormat="1" applyFont="1" applyFill="1" applyBorder="1" applyAlignment="1" applyProtection="1">
      <alignment horizontal="left" vertical="center" wrapText="1" indent="1"/>
      <protection locked="0"/>
    </xf>
    <xf numFmtId="0" fontId="12" fillId="2" borderId="6" xfId="0" applyFont="1" applyFill="1" applyBorder="1" applyAlignment="1" applyProtection="1">
      <alignment horizontal="left" vertical="center" wrapText="1"/>
      <protection locked="0"/>
    </xf>
    <xf numFmtId="0" fontId="11" fillId="7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 applyProtection="1">
      <alignment vertical="center" wrapText="1"/>
      <protection locked="0"/>
    </xf>
    <xf numFmtId="0" fontId="10" fillId="2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17" fillId="2" borderId="0" xfId="0" applyFont="1" applyFill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10" fillId="2" borderId="13" xfId="0" applyFont="1" applyFill="1" applyBorder="1" applyAlignment="1" applyProtection="1">
      <alignment horizontal="center" vertical="center" wrapText="1"/>
      <protection locked="0"/>
    </xf>
    <xf numFmtId="0" fontId="10" fillId="2" borderId="6" xfId="0" applyFont="1" applyFill="1" applyBorder="1" applyAlignment="1">
      <alignment horizontal="center" vertical="center" wrapText="1"/>
    </xf>
    <xf numFmtId="3" fontId="10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5" fillId="2" borderId="0" xfId="0" applyFont="1" applyFill="1" applyAlignment="1">
      <alignment vertical="center" wrapText="1"/>
    </xf>
    <xf numFmtId="0" fontId="10" fillId="2" borderId="6" xfId="0" applyFont="1" applyFill="1" applyBorder="1" applyAlignment="1" applyProtection="1">
      <alignment horizontal="center" vertical="center" wrapText="1"/>
      <protection locked="0"/>
    </xf>
    <xf numFmtId="0" fontId="18" fillId="8" borderId="6" xfId="0" applyFont="1" applyFill="1" applyBorder="1" applyAlignment="1" applyProtection="1">
      <alignment horizontal="center" vertical="center" wrapText="1"/>
      <protection locked="0"/>
    </xf>
    <xf numFmtId="164" fontId="10" fillId="0" borderId="6" xfId="0" applyNumberFormat="1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165" fontId="19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9" borderId="0" xfId="0" applyFill="1" applyAlignment="1" applyProtection="1">
      <alignment vertical="center" wrapText="1"/>
      <protection locked="0"/>
    </xf>
    <xf numFmtId="9" fontId="11" fillId="11" borderId="6" xfId="0" applyNumberFormat="1" applyFont="1" applyFill="1" applyBorder="1" applyAlignment="1">
      <alignment horizontal="center" vertical="center" wrapText="1"/>
    </xf>
    <xf numFmtId="0" fontId="18" fillId="0" borderId="6" xfId="0" applyFont="1" applyBorder="1" applyAlignment="1" applyProtection="1">
      <alignment horizontal="center" vertical="center" wrapText="1"/>
      <protection locked="0"/>
    </xf>
    <xf numFmtId="9" fontId="10" fillId="0" borderId="6" xfId="0" applyNumberFormat="1" applyFont="1" applyBorder="1" applyAlignment="1" applyProtection="1">
      <alignment horizontal="center" vertical="center" wrapText="1"/>
      <protection locked="0"/>
    </xf>
    <xf numFmtId="9" fontId="10" fillId="2" borderId="6" xfId="0" applyNumberFormat="1" applyFont="1" applyFill="1" applyBorder="1" applyAlignment="1" applyProtection="1">
      <alignment horizontal="center" vertical="center" wrapText="1"/>
      <protection locked="0"/>
    </xf>
    <xf numFmtId="9" fontId="10" fillId="2" borderId="0" xfId="0" applyNumberFormat="1" applyFont="1" applyFill="1" applyAlignment="1" applyProtection="1">
      <alignment horizontal="center" vertical="center" wrapText="1"/>
      <protection locked="0"/>
    </xf>
    <xf numFmtId="165" fontId="19" fillId="2" borderId="0" xfId="0" applyNumberFormat="1" applyFont="1" applyFill="1" applyAlignment="1" applyProtection="1">
      <alignment horizontal="center" vertical="center" wrapText="1"/>
      <protection locked="0"/>
    </xf>
    <xf numFmtId="0" fontId="15" fillId="2" borderId="0" xfId="0" applyFont="1" applyFill="1" applyAlignment="1" applyProtection="1">
      <alignment vertical="center" wrapText="1"/>
      <protection locked="0"/>
    </xf>
    <xf numFmtId="0" fontId="0" fillId="0" borderId="16" xfId="0" applyBorder="1" applyAlignment="1" applyProtection="1">
      <alignment vertical="center" wrapText="1"/>
      <protection locked="0"/>
    </xf>
    <xf numFmtId="0" fontId="0" fillId="0" borderId="17" xfId="0" applyBorder="1" applyAlignment="1" applyProtection="1">
      <alignment vertical="center" wrapText="1"/>
      <protection locked="0"/>
    </xf>
    <xf numFmtId="0" fontId="0" fillId="0" borderId="18" xfId="0" applyBorder="1" applyAlignment="1" applyProtection="1">
      <alignment vertical="center" wrapText="1"/>
      <protection locked="0"/>
    </xf>
    <xf numFmtId="0" fontId="18" fillId="2" borderId="6" xfId="0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0" fontId="11" fillId="12" borderId="19" xfId="0" applyFont="1" applyFill="1" applyBorder="1" applyAlignment="1">
      <alignment horizontal="center" vertical="center" wrapText="1"/>
    </xf>
    <xf numFmtId="165" fontId="18" fillId="0" borderId="20" xfId="0" applyNumberFormat="1" applyFont="1" applyBorder="1" applyAlignment="1">
      <alignment horizontal="center" vertical="center" wrapText="1"/>
    </xf>
    <xf numFmtId="165" fontId="19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1" fillId="14" borderId="6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 wrapText="1"/>
    </xf>
    <xf numFmtId="165" fontId="10" fillId="2" borderId="4" xfId="0" applyNumberFormat="1" applyFont="1" applyFill="1" applyBorder="1" applyAlignment="1">
      <alignment horizontal="center" vertical="center" wrapText="1"/>
    </xf>
    <xf numFmtId="9" fontId="10" fillId="2" borderId="6" xfId="0" applyNumberFormat="1" applyFont="1" applyFill="1" applyBorder="1" applyAlignment="1">
      <alignment horizontal="center" vertical="center" wrapText="1"/>
    </xf>
    <xf numFmtId="9" fontId="10" fillId="2" borderId="22" xfId="0" applyNumberFormat="1" applyFont="1" applyFill="1" applyBorder="1" applyAlignment="1" applyProtection="1">
      <alignment horizontal="center" vertical="center" wrapText="1"/>
      <protection locked="0"/>
    </xf>
    <xf numFmtId="3" fontId="10" fillId="2" borderId="23" xfId="0" applyNumberFormat="1" applyFont="1" applyFill="1" applyBorder="1" applyAlignment="1">
      <alignment horizontal="center" vertical="center" wrapText="1"/>
    </xf>
    <xf numFmtId="166" fontId="10" fillId="2" borderId="0" xfId="0" applyNumberFormat="1" applyFont="1" applyFill="1" applyAlignment="1" applyProtection="1">
      <alignment vertical="center" wrapText="1"/>
      <protection locked="0"/>
    </xf>
    <xf numFmtId="0" fontId="11" fillId="13" borderId="1" xfId="0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 wrapText="1"/>
    </xf>
    <xf numFmtId="167" fontId="10" fillId="2" borderId="2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9" fontId="10" fillId="2" borderId="2" xfId="1" applyFont="1" applyFill="1" applyBorder="1" applyAlignment="1" applyProtection="1">
      <alignment horizontal="center"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168" fontId="10" fillId="2" borderId="2" xfId="0" applyNumberFormat="1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 applyProtection="1">
      <alignment vertical="center" wrapText="1"/>
      <protection locked="0"/>
    </xf>
    <xf numFmtId="0" fontId="0" fillId="0" borderId="26" xfId="0" applyBorder="1" applyAlignment="1" applyProtection="1">
      <alignment vertical="center" wrapText="1"/>
      <protection locked="0"/>
    </xf>
    <xf numFmtId="0" fontId="0" fillId="0" borderId="27" xfId="0" applyBorder="1" applyAlignment="1" applyProtection="1">
      <alignment vertical="center" wrapText="1"/>
      <protection locked="0"/>
    </xf>
    <xf numFmtId="0" fontId="0" fillId="0" borderId="3" xfId="0" applyBorder="1" applyAlignment="1">
      <alignment vertical="center" wrapText="1"/>
    </xf>
    <xf numFmtId="0" fontId="9" fillId="0" borderId="3" xfId="0" applyFont="1" applyBorder="1" applyAlignment="1" applyProtection="1">
      <alignment vertical="center" wrapText="1"/>
      <protection locked="0"/>
    </xf>
    <xf numFmtId="0" fontId="0" fillId="0" borderId="28" xfId="0" applyBorder="1" applyAlignment="1" applyProtection="1">
      <alignment vertical="center" wrapText="1"/>
      <protection locked="0"/>
    </xf>
    <xf numFmtId="0" fontId="0" fillId="0" borderId="28" xfId="0" applyBorder="1" applyAlignment="1">
      <alignment vertical="center" wrapText="1"/>
    </xf>
    <xf numFmtId="0" fontId="9" fillId="0" borderId="28" xfId="0" applyFont="1" applyBorder="1" applyAlignment="1" applyProtection="1">
      <alignment vertical="center" wrapText="1"/>
      <protection locked="0"/>
    </xf>
    <xf numFmtId="0" fontId="1" fillId="2" borderId="6" xfId="0" applyFont="1" applyFill="1" applyBorder="1" applyAlignment="1" applyProtection="1">
      <alignment horizontal="left" vertical="center" wrapText="1" indent="1"/>
      <protection locked="0"/>
    </xf>
    <xf numFmtId="0" fontId="11" fillId="3" borderId="8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vertical="center" wrapText="1"/>
    </xf>
    <xf numFmtId="0" fontId="20" fillId="13" borderId="21" xfId="0" applyFont="1" applyFill="1" applyBorder="1" applyAlignment="1">
      <alignment horizontal="center" vertical="center" wrapText="1"/>
    </xf>
    <xf numFmtId="0" fontId="20" fillId="13" borderId="0" xfId="0" applyFont="1" applyFill="1" applyAlignment="1">
      <alignment horizontal="center" vertical="center" wrapText="1"/>
    </xf>
    <xf numFmtId="0" fontId="20" fillId="13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 wrapText="1"/>
    </xf>
    <xf numFmtId="0" fontId="7" fillId="2" borderId="0" xfId="2" applyFill="1" applyBorder="1" applyAlignment="1" applyProtection="1">
      <alignment horizontal="left" vertical="center" wrapText="1" indent="1"/>
    </xf>
    <xf numFmtId="0" fontId="11" fillId="3" borderId="4" xfId="0" applyFont="1" applyFill="1" applyBorder="1" applyAlignment="1">
      <alignment horizontal="left" vertical="center" wrapText="1" indent="1"/>
    </xf>
    <xf numFmtId="0" fontId="13" fillId="4" borderId="5" xfId="0" applyFont="1" applyFill="1" applyBorder="1" applyAlignment="1">
      <alignment horizontal="left" vertical="center" wrapText="1" indent="1"/>
    </xf>
    <xf numFmtId="0" fontId="14" fillId="5" borderId="4" xfId="0" applyFont="1" applyFill="1" applyBorder="1" applyAlignment="1">
      <alignment horizontal="center" vertical="center" wrapText="1"/>
    </xf>
    <xf numFmtId="0" fontId="3" fillId="4" borderId="5" xfId="0" applyFont="1" applyFill="1" applyBorder="1"/>
    <xf numFmtId="0" fontId="12" fillId="2" borderId="4" xfId="0" applyFont="1" applyFill="1" applyBorder="1" applyAlignment="1" applyProtection="1">
      <alignment horizontal="left" vertical="center" wrapText="1" indent="1"/>
      <protection locked="0"/>
    </xf>
    <xf numFmtId="0" fontId="12" fillId="2" borderId="5" xfId="0" applyFont="1" applyFill="1" applyBorder="1" applyAlignment="1" applyProtection="1">
      <alignment horizontal="left" vertical="center" wrapText="1" indent="1"/>
      <protection locked="0"/>
    </xf>
    <xf numFmtId="0" fontId="11" fillId="6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4" borderId="7" xfId="0" applyFont="1" applyFill="1" applyBorder="1"/>
    <xf numFmtId="0" fontId="3" fillId="0" borderId="7" xfId="0" applyFont="1" applyBorder="1" applyAlignment="1">
      <alignment vertical="center" wrapText="1"/>
    </xf>
    <xf numFmtId="0" fontId="11" fillId="5" borderId="4" xfId="0" applyFont="1" applyFill="1" applyBorder="1" applyAlignment="1">
      <alignment horizontal="center" vertical="center" textRotation="90" wrapText="1"/>
    </xf>
    <xf numFmtId="0" fontId="13" fillId="4" borderId="5" xfId="0" applyFont="1" applyFill="1" applyBorder="1"/>
    <xf numFmtId="0" fontId="14" fillId="6" borderId="4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</cellXfs>
  <cellStyles count="4">
    <cellStyle name="Гиперссылка" xfId="2" builtinId="8"/>
    <cellStyle name="Обычный" xfId="0" builtinId="0"/>
    <cellStyle name="Обычный 2" xfId="3" xr:uid="{A606D074-6338-F64F-A490-893FE39C2629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655485</xdr:colOff>
      <xdr:row>3</xdr:row>
      <xdr:rowOff>374745</xdr:rowOff>
    </xdr:from>
    <xdr:ext cx="6324912" cy="1393389"/>
    <xdr:pic>
      <xdr:nvPicPr>
        <xdr:cNvPr id="2" name="image3.jpg" title="Image">
          <a:extLst>
            <a:ext uri="{FF2B5EF4-FFF2-40B4-BE49-F238E27FC236}">
              <a16:creationId xmlns:a16="http://schemas.microsoft.com/office/drawing/2014/main" id="{2517B1FF-DA31-731E-D233-9A52E3584619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92743" y="1214584"/>
          <a:ext cx="6324912" cy="139338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isk.yandex.ru/i/RA0ys5BmEYhiv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0EF0-98A5-B048-8DD7-2AE0FE23511E}">
  <dimension ref="A1:HX1138"/>
  <sheetViews>
    <sheetView tabSelected="1" zoomScale="62" zoomScaleSheetLayoutView="100" workbookViewId="0">
      <pane xSplit="2" topLeftCell="C1" activePane="topRight" state="frozen"/>
      <selection pane="topRight" activeCell="AD16" sqref="AD16"/>
    </sheetView>
  </sheetViews>
  <sheetFormatPr baseColWidth="10" defaultColWidth="10.125" defaultRowHeight="15" customHeight="1" x14ac:dyDescent="0.2"/>
  <cols>
    <col min="1" max="1" width="19.125" style="2" customWidth="1"/>
    <col min="2" max="2" width="57.625" style="2" customWidth="1"/>
    <col min="3" max="5" width="19.375" style="2" customWidth="1"/>
    <col min="6" max="6" width="15.375" style="2" customWidth="1"/>
    <col min="7" max="7" width="16.625" style="2" customWidth="1"/>
    <col min="8" max="11" width="12.5" style="2" customWidth="1"/>
    <col min="12" max="12" width="22.375" style="2" customWidth="1"/>
    <col min="13" max="14" width="14.5" style="2" customWidth="1"/>
    <col min="15" max="17" width="16" style="2" hidden="1" customWidth="1"/>
    <col min="18" max="19" width="16" style="2" customWidth="1"/>
    <col min="20" max="21" width="16" style="2" hidden="1" customWidth="1"/>
    <col min="22" max="22" width="14.375" style="2" customWidth="1"/>
    <col min="23" max="25" width="20.125" style="2" customWidth="1"/>
    <col min="26" max="26" width="13.125" style="2" customWidth="1"/>
    <col min="27" max="27" width="10.75" style="2" hidden="1" customWidth="1"/>
    <col min="28" max="28" width="13.375" style="2" customWidth="1"/>
    <col min="29" max="32" width="13" style="2" customWidth="1"/>
    <col min="33" max="39" width="10.75" style="2" hidden="1" customWidth="1"/>
    <col min="40" max="41" width="4.25" style="2" hidden="1" customWidth="1"/>
    <col min="42" max="49" width="4.25" style="2" customWidth="1"/>
    <col min="50" max="50" width="10.125" style="3" hidden="1" customWidth="1"/>
    <col min="51" max="52" width="10.125" style="3"/>
    <col min="53" max="53" width="20.375" style="3" hidden="1" customWidth="1"/>
    <col min="54" max="55" width="10.125" style="3"/>
    <col min="56" max="231" width="10.125" style="2"/>
    <col min="232" max="232" width="8.625" customWidth="1"/>
    <col min="233" max="16384" width="10.125" style="2"/>
  </cols>
  <sheetData>
    <row r="1" spans="1:99" ht="20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3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62" t="s">
        <v>0</v>
      </c>
      <c r="BA1" s="3" t="s">
        <v>68</v>
      </c>
      <c r="BD1" s="64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</row>
    <row r="2" spans="1:99" ht="17.5" customHeight="1" x14ac:dyDescent="0.2">
      <c r="A2" s="75" t="s">
        <v>1</v>
      </c>
      <c r="B2" s="79" t="s">
        <v>79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6"/>
      <c r="P2" s="26"/>
      <c r="Q2" s="4"/>
      <c r="R2" s="4"/>
      <c r="S2" s="4"/>
      <c r="T2" s="4"/>
      <c r="U2" s="4"/>
      <c r="V2" s="4"/>
      <c r="W2" s="35"/>
      <c r="X2" s="36"/>
      <c r="Y2" s="26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62" t="s">
        <v>2</v>
      </c>
      <c r="BA2" s="3" t="s">
        <v>3</v>
      </c>
      <c r="BD2" s="64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</row>
    <row r="3" spans="1:99" ht="29" customHeight="1" x14ac:dyDescent="0.2">
      <c r="A3" s="76"/>
      <c r="B3" s="8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6"/>
      <c r="P3" s="26"/>
      <c r="Q3" s="4"/>
      <c r="R3" s="4"/>
      <c r="S3" s="4"/>
      <c r="T3" s="4"/>
      <c r="U3" s="4"/>
      <c r="V3" s="4"/>
      <c r="W3" s="68" t="s">
        <v>4</v>
      </c>
      <c r="X3" s="69"/>
      <c r="Y3" s="26"/>
      <c r="Z3" s="4"/>
      <c r="AA3" s="4"/>
      <c r="AB3" s="4"/>
      <c r="AC3" s="4"/>
      <c r="AD3" s="4"/>
      <c r="AE3" s="49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62" t="s">
        <v>5</v>
      </c>
      <c r="BA3" s="3" t="s">
        <v>10</v>
      </c>
      <c r="BD3" s="64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</row>
    <row r="4" spans="1:99" ht="30" customHeight="1" x14ac:dyDescent="0.2">
      <c r="A4" s="5" t="s">
        <v>6</v>
      </c>
      <c r="B4" s="6" t="s">
        <v>77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6"/>
      <c r="P4" s="26"/>
      <c r="Q4" s="4"/>
      <c r="R4" s="4"/>
      <c r="S4" s="4"/>
      <c r="T4" s="4"/>
      <c r="U4" s="4"/>
      <c r="V4" s="4"/>
      <c r="W4" s="37" t="s">
        <v>7</v>
      </c>
      <c r="X4" s="38">
        <f>X17</f>
        <v>11999999.673</v>
      </c>
      <c r="Y4" s="26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BA4" s="3" t="s">
        <v>69</v>
      </c>
      <c r="BD4" s="64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</row>
    <row r="5" spans="1:99" ht="30" customHeight="1" x14ac:dyDescent="0.2">
      <c r="A5" s="5" t="s">
        <v>8</v>
      </c>
      <c r="B5" s="6" t="s">
        <v>78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6"/>
      <c r="P5" s="26"/>
      <c r="Q5" s="4"/>
      <c r="R5" s="4"/>
      <c r="S5" s="4"/>
      <c r="T5" s="4"/>
      <c r="U5" s="4"/>
      <c r="V5" s="4"/>
      <c r="W5" s="37" t="s">
        <v>9</v>
      </c>
      <c r="X5" s="38">
        <f>X4*(1.2-1)</f>
        <v>2399999.9345999993</v>
      </c>
      <c r="Y5" s="26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BA5" s="3" t="s">
        <v>70</v>
      </c>
      <c r="BD5" s="64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</row>
    <row r="6" spans="1:99" ht="30" customHeight="1" x14ac:dyDescent="0.2">
      <c r="A6" s="5" t="s">
        <v>11</v>
      </c>
      <c r="B6" s="6" t="s">
        <v>76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6"/>
      <c r="P6" s="26"/>
      <c r="Q6" s="4"/>
      <c r="R6" s="4"/>
      <c r="S6" s="4"/>
      <c r="T6" s="4"/>
      <c r="U6" s="4"/>
      <c r="V6" s="4"/>
      <c r="W6" s="37" t="s">
        <v>12</v>
      </c>
      <c r="X6" s="39">
        <f>X4+X5</f>
        <v>14399999.6076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BA6" s="3" t="s">
        <v>71</v>
      </c>
      <c r="BD6" s="64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</row>
    <row r="7" spans="1:99" ht="38" x14ac:dyDescent="0.2">
      <c r="A7" s="5" t="s">
        <v>13</v>
      </c>
      <c r="B7" s="6" t="s">
        <v>80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0" t="s">
        <v>14</v>
      </c>
      <c r="X7" s="41">
        <v>0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BA7" s="3" t="s">
        <v>72</v>
      </c>
      <c r="BD7" s="64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</row>
    <row r="8" spans="1:99" ht="20" x14ac:dyDescent="0.2">
      <c r="A8" s="5" t="s">
        <v>15</v>
      </c>
      <c r="B8" s="6" t="s">
        <v>81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BA8" s="3" t="s">
        <v>73</v>
      </c>
      <c r="BD8" s="64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</row>
    <row r="9" spans="1:99" ht="20" x14ac:dyDescent="0.2">
      <c r="A9" s="5" t="s">
        <v>16</v>
      </c>
      <c r="B9" s="6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BD9" s="64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</row>
    <row r="10" spans="1:99" ht="20" x14ac:dyDescent="0.2">
      <c r="A10" s="5" t="s">
        <v>18</v>
      </c>
      <c r="B10" s="7" t="s">
        <v>75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BD10" s="64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</row>
    <row r="11" spans="1:99" ht="19" x14ac:dyDescent="0.2">
      <c r="A11" s="5" t="s">
        <v>19</v>
      </c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BD11" s="64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</row>
    <row r="12" spans="1:99" ht="18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BD12" s="64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</row>
    <row r="13" spans="1:99" customFormat="1" ht="46" customHeight="1" x14ac:dyDescent="0.2">
      <c r="A13" s="77" t="s">
        <v>20</v>
      </c>
      <c r="B13" s="81" t="s">
        <v>21</v>
      </c>
      <c r="C13" s="81" t="s">
        <v>22</v>
      </c>
      <c r="D13" s="77" t="s">
        <v>23</v>
      </c>
      <c r="E13" s="81" t="s">
        <v>24</v>
      </c>
      <c r="F13" s="81" t="s">
        <v>25</v>
      </c>
      <c r="G13" s="81" t="s">
        <v>26</v>
      </c>
      <c r="H13" s="88" t="s">
        <v>27</v>
      </c>
      <c r="I13" s="89"/>
      <c r="J13" s="85" t="s">
        <v>28</v>
      </c>
      <c r="K13" s="87" t="s">
        <v>29</v>
      </c>
      <c r="L13" s="77" t="s">
        <v>30</v>
      </c>
      <c r="M13" s="92" t="s">
        <v>14</v>
      </c>
      <c r="N13" s="81" t="s">
        <v>31</v>
      </c>
      <c r="O13" s="77" t="s">
        <v>32</v>
      </c>
      <c r="P13" s="77" t="s">
        <v>33</v>
      </c>
      <c r="Q13" s="77" t="s">
        <v>34</v>
      </c>
      <c r="R13" s="77" t="s">
        <v>35</v>
      </c>
      <c r="S13" s="77" t="s">
        <v>36</v>
      </c>
      <c r="T13" s="87" t="s">
        <v>37</v>
      </c>
      <c r="U13" s="81" t="s">
        <v>38</v>
      </c>
      <c r="V13" s="81" t="s">
        <v>39</v>
      </c>
      <c r="W13" s="87" t="s">
        <v>74</v>
      </c>
      <c r="X13" s="81" t="s">
        <v>40</v>
      </c>
      <c r="Y13" s="81" t="s">
        <v>41</v>
      </c>
      <c r="Z13" s="70" t="s">
        <v>42</v>
      </c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2"/>
      <c r="AN13" s="57"/>
      <c r="AO13" s="13"/>
      <c r="AP13" s="57"/>
      <c r="AQ13" s="13"/>
      <c r="AR13" s="13"/>
      <c r="AS13" s="13"/>
      <c r="AT13" s="13"/>
      <c r="AU13" s="13"/>
      <c r="AV13" s="13"/>
      <c r="AW13" s="13"/>
      <c r="AX13" s="62"/>
      <c r="AY13" s="62"/>
      <c r="AZ13" s="62"/>
      <c r="BA13" s="62"/>
      <c r="BB13" s="62"/>
      <c r="BC13" s="62"/>
      <c r="BD13" s="65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</row>
    <row r="14" spans="1:99" customFormat="1" ht="63" customHeight="1" x14ac:dyDescent="0.2">
      <c r="A14" s="78"/>
      <c r="B14" s="82"/>
      <c r="C14" s="82"/>
      <c r="D14" s="83"/>
      <c r="E14" s="84"/>
      <c r="F14" s="82"/>
      <c r="G14" s="82"/>
      <c r="H14" s="90"/>
      <c r="I14" s="91"/>
      <c r="J14" s="86"/>
      <c r="K14" s="82"/>
      <c r="L14" s="78"/>
      <c r="M14" s="93"/>
      <c r="N14" s="82"/>
      <c r="O14" s="78"/>
      <c r="P14" s="78"/>
      <c r="Q14" s="78"/>
      <c r="R14" s="78"/>
      <c r="S14" s="78"/>
      <c r="T14" s="82"/>
      <c r="U14" s="82"/>
      <c r="V14" s="82"/>
      <c r="W14" s="82"/>
      <c r="X14" s="82"/>
      <c r="Y14" s="82"/>
      <c r="Z14" s="43" t="s">
        <v>43</v>
      </c>
      <c r="AA14" s="44" t="s">
        <v>44</v>
      </c>
      <c r="AB14" s="44" t="str">
        <f t="array" ref="AB14">_xlfn.IFS(E15="Skin","Досмотров",E15="in-image","Досмотров",E15="Skin (40%) + in-image (60%)","Досмотров",AND(E15="Пакет Мультивидео",I15="Досмотров"),"Показов",AND(E15="Пакет Мультивидео",I15="Показов"),"Досмотров",AND(E15="Video",I15="Досмотров"),"Показов",AND(E15="Video",I15="Показов"),"Досмотров",AND(E15="Skin + Video",I15="Досмотров"),"Показов",AND(E15="Skin + Video",I15="Показов"),"Досмотров")</f>
        <v>Досмотров</v>
      </c>
      <c r="AC14" s="50" t="s">
        <v>45</v>
      </c>
      <c r="AD14" s="50" t="s">
        <v>46</v>
      </c>
      <c r="AE14" s="50" t="str">
        <f>_xlfn.IFS(I15="Кликов","Показов",I15="Показов","Кликов",I15="Досмотров","Кликов")</f>
        <v>Кликов</v>
      </c>
      <c r="AF14" s="50" t="s">
        <v>47</v>
      </c>
      <c r="AG14" s="53" t="s">
        <v>48</v>
      </c>
      <c r="AH14" s="53" t="s">
        <v>49</v>
      </c>
      <c r="AI14" s="53" t="s">
        <v>50</v>
      </c>
      <c r="AJ14" s="53" t="s">
        <v>51</v>
      </c>
      <c r="AK14" s="58" t="s">
        <v>52</v>
      </c>
      <c r="AL14" s="58" t="s">
        <v>53</v>
      </c>
      <c r="AM14" s="58" t="s">
        <v>54</v>
      </c>
      <c r="AN14" s="13"/>
      <c r="AO14" s="13"/>
      <c r="AP14" s="13"/>
      <c r="AQ14" s="13"/>
      <c r="AR14" s="13"/>
      <c r="AS14" s="13"/>
      <c r="AT14" s="13"/>
      <c r="AU14" s="13"/>
      <c r="AV14" s="13"/>
      <c r="AX14" s="62"/>
      <c r="AY14" s="62"/>
      <c r="AZ14" s="62"/>
      <c r="BA14" s="62"/>
      <c r="BB14" s="62"/>
      <c r="BC14" s="62"/>
      <c r="BD14" s="65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</row>
    <row r="15" spans="1:99" ht="173" customHeight="1" x14ac:dyDescent="0.2">
      <c r="A15" s="9" t="s">
        <v>55</v>
      </c>
      <c r="B15" s="67" t="s">
        <v>82</v>
      </c>
      <c r="C15" s="10" t="s">
        <v>56</v>
      </c>
      <c r="D15" s="11" t="s">
        <v>57</v>
      </c>
      <c r="E15" s="16" t="s">
        <v>10</v>
      </c>
      <c r="F15" s="17" t="s">
        <v>58</v>
      </c>
      <c r="G15" s="18" t="s">
        <v>59</v>
      </c>
      <c r="H15" s="19">
        <v>23333333</v>
      </c>
      <c r="I15" s="21" t="s">
        <v>2</v>
      </c>
      <c r="J15" s="22" t="str">
        <f>B7</f>
        <v>29.09.2025-02.11.2025</v>
      </c>
      <c r="K15" s="23">
        <v>500</v>
      </c>
      <c r="L15" s="24">
        <f>_xlfn.IFS(I15="Кликов",H15*K15,I15="Показов",H15*K15/1000,I15="Досмотров",H15*K15)</f>
        <v>11666666.5</v>
      </c>
      <c r="M15" s="27">
        <v>0</v>
      </c>
      <c r="N15" s="28">
        <v>1</v>
      </c>
      <c r="O15" s="29">
        <v>0</v>
      </c>
      <c r="P15" s="30">
        <v>0</v>
      </c>
      <c r="Q15" s="30">
        <v>0</v>
      </c>
      <c r="R15" s="30">
        <v>0</v>
      </c>
      <c r="S15" s="30">
        <v>0</v>
      </c>
      <c r="T15" s="29">
        <v>0</v>
      </c>
      <c r="U15" s="29">
        <v>0</v>
      </c>
      <c r="V15" s="30">
        <v>0.4</v>
      </c>
      <c r="W15" s="38">
        <v>300</v>
      </c>
      <c r="X15" s="38">
        <f>_xlfn.IFS(I15="Кликов",H15*W15,I15="Показов",H15*W15/1000,I15="Досмотров",H15*W15)</f>
        <v>6999999.9000000004</v>
      </c>
      <c r="Y15" s="45">
        <f>X15*1.2</f>
        <v>8399999.8800000008</v>
      </c>
      <c r="Z15" s="46">
        <v>0.75</v>
      </c>
      <c r="AA15" s="47">
        <v>0</v>
      </c>
      <c r="AB15" s="48">
        <f t="array" ref="AB15">_xlfn.IFS(I15="Досмотров",H15/Z15,I15="Кликов","-",AND(I15="Показов",E15="Skin"),"-",AND(I15="Показов",E15="Skin (40%) + in-image (60%)"),"-",AND(I15="Показов",E15="in-image"),"-",AND(I15="Показов",E15="Пакет Мультивидео"),H15*Z15,AND(I15="Показов",E15="Video"),H15*Z15,AND(I15="Показов",E15="Skin + Video"),H15*Z15)</f>
        <v>17499999.75</v>
      </c>
      <c r="AC15" s="51">
        <v>3</v>
      </c>
      <c r="AD15" s="52">
        <v>5.0000000000000001E-3</v>
      </c>
      <c r="AE15" s="51">
        <f>_xlfn.IFS(I15="Кликов",H15/AD15,I15="Показов",H15*AD15,I15="Досмотров",AB15*AD15)</f>
        <v>116666.66500000001</v>
      </c>
      <c r="AF15" s="51">
        <f>_xlfn.IFS(I15="Кликов",AE15/AC15,I15="Показов",H15/AC15,I15="Досмотров",AB15/AC15)</f>
        <v>7777777.666666667</v>
      </c>
      <c r="AG15" s="54" t="s">
        <v>60</v>
      </c>
      <c r="AH15" s="55">
        <v>4.6296296296296298E-4</v>
      </c>
      <c r="AI15" s="56">
        <v>1.3</v>
      </c>
      <c r="AJ15" s="51" t="s">
        <v>61</v>
      </c>
      <c r="AK15" s="51" t="s">
        <v>62</v>
      </c>
      <c r="AL15" s="51" t="s">
        <v>63</v>
      </c>
      <c r="AM15" s="51" t="s">
        <v>64</v>
      </c>
      <c r="AN15" s="4"/>
      <c r="AO15" s="4"/>
      <c r="AP15" s="4"/>
      <c r="AQ15" s="4"/>
      <c r="AR15" s="4"/>
      <c r="AS15" s="59"/>
      <c r="AT15" s="60"/>
      <c r="AU15" s="61"/>
      <c r="AV15" s="3"/>
      <c r="AW15" s="61"/>
      <c r="BD15" s="64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9" ht="173" customHeight="1" x14ac:dyDescent="0.2">
      <c r="A16" s="9" t="s">
        <v>55</v>
      </c>
      <c r="B16" s="67" t="s">
        <v>82</v>
      </c>
      <c r="C16" s="10" t="s">
        <v>56</v>
      </c>
      <c r="D16" s="11" t="s">
        <v>57</v>
      </c>
      <c r="E16" s="16" t="s">
        <v>3</v>
      </c>
      <c r="F16" s="17" t="s">
        <v>58</v>
      </c>
      <c r="G16" s="18" t="s">
        <v>59</v>
      </c>
      <c r="H16" s="19">
        <v>8375209</v>
      </c>
      <c r="I16" s="21" t="s">
        <v>2</v>
      </c>
      <c r="J16" s="22" t="str">
        <f>B7</f>
        <v>29.09.2025-02.11.2025</v>
      </c>
      <c r="K16" s="23">
        <v>995</v>
      </c>
      <c r="L16" s="24">
        <f>_xlfn.IFS(I16="Кликов",H16*K16,I16="Показов",H16*K16/1000,I16="Досмотров",H16*K16)</f>
        <v>8333332.9550000001</v>
      </c>
      <c r="M16" s="27">
        <v>0</v>
      </c>
      <c r="N16" s="28">
        <v>1</v>
      </c>
      <c r="O16" s="29">
        <v>0</v>
      </c>
      <c r="P16" s="30">
        <v>0</v>
      </c>
      <c r="Q16" s="30">
        <v>0</v>
      </c>
      <c r="R16" s="30">
        <v>0</v>
      </c>
      <c r="S16" s="30">
        <v>0</v>
      </c>
      <c r="T16" s="29">
        <v>0</v>
      </c>
      <c r="U16" s="29">
        <v>0</v>
      </c>
      <c r="V16" s="30">
        <v>0.4</v>
      </c>
      <c r="W16" s="38">
        <v>597</v>
      </c>
      <c r="X16" s="38">
        <f>_xlfn.IFS(I16="Кликов",H16*W16,I16="Показов",H16*W16/1000,I16="Досмотров",H16*W16)</f>
        <v>4999999.773</v>
      </c>
      <c r="Y16" s="45">
        <f>X16*1.2</f>
        <v>5999999.7275999999</v>
      </c>
      <c r="Z16" s="46" t="str">
        <f t="array" ref="Z16">_xlfn.IFS(E16="in-image","-",E16="Skin","-",E16="Пакет Мультивидео",75%,E16="Video",75%,E16="Skin + Video",75%,E16="Skin (40%) + in-image (60%)","-")</f>
        <v>-</v>
      </c>
      <c r="AA16" s="47">
        <v>0</v>
      </c>
      <c r="AB16" s="48" t="str">
        <f t="array" ref="AB16">_xlfn.IFS(I16="Досмотров",H16/Z16,I16="Кликов","-",AND(I16="Показов",E16="Skin"),"-",AND(I16="Показов",E16="Skin (40%) + in-image (60%)"),"-",AND(I16="Показов",E16="in-image"),"-",AND(I16="Показов",E16="Пакет Мультивидео"),H16*Z16,AND(I16="Показов",E16="Video"),H16*Z16,AND(I16="Показов",E16="Skin + Video"),H16*Z16)</f>
        <v>-</v>
      </c>
      <c r="AC16" s="51">
        <v>2</v>
      </c>
      <c r="AD16" s="52">
        <v>0.01</v>
      </c>
      <c r="AE16" s="51">
        <f>_xlfn.IFS(I16="Кликов",H16/AD16,I16="Показов",H16*AD16,I16="Досмотров",AB16*AD16)</f>
        <v>83752.09</v>
      </c>
      <c r="AF16" s="51">
        <f>_xlfn.IFS(I16="Кликов",AE16/AC16,I16="Показов",H16/AC16,I16="Досмотров",AB16/AC16)</f>
        <v>4187604.5</v>
      </c>
      <c r="AG16" s="54" t="s">
        <v>60</v>
      </c>
      <c r="AH16" s="55">
        <v>4.6296296296296298E-4</v>
      </c>
      <c r="AI16" s="56">
        <v>1.3</v>
      </c>
      <c r="AJ16" s="51" t="s">
        <v>61</v>
      </c>
      <c r="AK16" s="51" t="s">
        <v>62</v>
      </c>
      <c r="AL16" s="51" t="s">
        <v>63</v>
      </c>
      <c r="AM16" s="51" t="s">
        <v>64</v>
      </c>
      <c r="AN16" s="4"/>
      <c r="AO16" s="4"/>
      <c r="AP16" s="4"/>
      <c r="AQ16" s="4"/>
      <c r="AR16" s="4"/>
      <c r="AS16" s="59"/>
      <c r="AT16" s="60"/>
      <c r="AV16" s="3"/>
      <c r="AW16" s="61"/>
      <c r="BD16" s="64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9" ht="43" customHeight="1" x14ac:dyDescent="0.2">
      <c r="A17" s="4"/>
      <c r="B17" s="4"/>
      <c r="C17" s="4"/>
      <c r="D17" s="12"/>
      <c r="E17" s="4"/>
      <c r="F17" s="4"/>
      <c r="G17" s="4"/>
      <c r="H17" s="19">
        <f>SUM(H15:H16)</f>
        <v>31708542</v>
      </c>
      <c r="I17" s="4"/>
      <c r="J17" s="4"/>
      <c r="K17" s="4"/>
      <c r="L17" s="25">
        <f>SUM(L15:L16)</f>
        <v>19999999.454999998</v>
      </c>
      <c r="M17" s="32"/>
      <c r="N17" s="4"/>
      <c r="O17" s="4"/>
      <c r="P17" s="4"/>
      <c r="Q17" s="4"/>
      <c r="R17" s="4"/>
      <c r="S17" s="4"/>
      <c r="T17" s="31"/>
      <c r="U17" s="4"/>
      <c r="V17" s="4"/>
      <c r="W17" s="4"/>
      <c r="X17" s="42">
        <f>SUM(X15:X16)</f>
        <v>11999999.673</v>
      </c>
      <c r="Y17" s="25">
        <f>SUM(Y15:Y16)</f>
        <v>14399999.6076</v>
      </c>
      <c r="Z17" s="4"/>
      <c r="AA17" s="12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BD17" s="64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</row>
    <row r="18" spans="1:99" s="1" customFormat="1" ht="22" customHeight="1" x14ac:dyDescent="0.2">
      <c r="A18" s="73" t="s">
        <v>65</v>
      </c>
      <c r="B18" s="73"/>
      <c r="C18" s="73"/>
      <c r="D18" s="73"/>
      <c r="E18" s="73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63"/>
      <c r="AY18" s="63"/>
      <c r="AZ18" s="63"/>
      <c r="BA18" s="63"/>
      <c r="BB18" s="63"/>
      <c r="BC18" s="63"/>
      <c r="BD18" s="66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</row>
    <row r="19" spans="1:99" ht="17.25" customHeight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BD19" s="64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</row>
    <row r="20" spans="1:99" ht="27" customHeight="1" x14ac:dyDescent="0.2">
      <c r="A20" s="14" t="s">
        <v>66</v>
      </c>
      <c r="B20" s="74" t="s">
        <v>67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BD20" s="64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</row>
    <row r="21" spans="1:99" ht="17.2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BD21" s="64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</row>
    <row r="22" spans="1:99" ht="17.2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BD22" s="64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</row>
    <row r="23" spans="1:99" ht="17.2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BD23" s="64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</row>
    <row r="24" spans="1:99" ht="17.2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BD24" s="64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</row>
    <row r="25" spans="1:99" ht="17.2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BD25" s="64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</row>
    <row r="26" spans="1:99" ht="17.2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BD26" s="64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</row>
    <row r="27" spans="1:99" ht="17.25" customHeight="1" x14ac:dyDescent="0.2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BD27" s="64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</row>
    <row r="28" spans="1:99" ht="17.2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BD28" s="64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</row>
    <row r="29" spans="1:99" ht="17.2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BD29" s="64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</row>
    <row r="30" spans="1:99" ht="17.2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BD30" s="64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</row>
    <row r="31" spans="1:99" ht="17.2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BD31" s="64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</row>
    <row r="32" spans="1:99" ht="17.2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BD32" s="64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</row>
    <row r="33" spans="1:99" ht="17.2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BD33" s="64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</row>
    <row r="34" spans="1:99" ht="17.2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BD34" s="64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</row>
    <row r="35" spans="1:99" ht="17.2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BD35" s="64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</row>
    <row r="36" spans="1:99" ht="17.2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BD36" s="64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</row>
    <row r="37" spans="1:99" ht="17.2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BD37" s="64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</row>
    <row r="38" spans="1:99" ht="17.2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BD38" s="64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</row>
    <row r="39" spans="1:99" ht="17.2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BD39" s="64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</row>
    <row r="40" spans="1:99" ht="17.2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BD40" s="64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</row>
    <row r="41" spans="1:99" ht="17.2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BD41" s="64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</row>
    <row r="42" spans="1:99" ht="17.2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BD42" s="64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</row>
    <row r="43" spans="1:99" ht="17.2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BD43" s="64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</row>
    <row r="44" spans="1:99" ht="17.2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BD44" s="64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</row>
    <row r="45" spans="1:99" ht="17.2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BD45" s="64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</row>
    <row r="46" spans="1:99" ht="17.2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BD46" s="64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</row>
    <row r="47" spans="1:99" ht="17.2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BD47" s="64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</row>
    <row r="48" spans="1:99" ht="17.2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BD48" s="64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</row>
    <row r="49" spans="1:99" ht="17.2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BD49" s="64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</row>
    <row r="50" spans="1:99" ht="17.2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BD50" s="64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</row>
    <row r="51" spans="1:99" ht="17.2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BD51" s="64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</row>
    <row r="52" spans="1:99" ht="17.2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BD52" s="64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</row>
    <row r="53" spans="1:99" ht="17.2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BD53" s="64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</row>
    <row r="54" spans="1:99" ht="17.2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BD54" s="64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</row>
    <row r="55" spans="1:99" ht="17.2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BD55" s="64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</row>
    <row r="56" spans="1:99" ht="17.2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BD56" s="64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</row>
    <row r="57" spans="1:99" ht="17.2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BD57" s="64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</row>
    <row r="58" spans="1:99" ht="17.2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BD58" s="64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</row>
    <row r="59" spans="1:99" ht="17.2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BD59" s="64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</row>
    <row r="60" spans="1:99" ht="17.2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BD60" s="64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</row>
    <row r="61" spans="1:99" ht="17.2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BD61" s="64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</row>
    <row r="62" spans="1:99" ht="17.2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BD62" s="64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</row>
    <row r="63" spans="1:99" ht="17.2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BD63" s="64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</row>
    <row r="64" spans="1:99" ht="17.2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BD64" s="64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</row>
    <row r="65" spans="1:99" ht="17.2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BD65" s="64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</row>
    <row r="66" spans="1:99" ht="17.2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BD66" s="64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</row>
    <row r="67" spans="1:99" ht="17.2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BD67" s="64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</row>
    <row r="68" spans="1:99" ht="17.2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BD68" s="64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</row>
    <row r="69" spans="1:99" ht="17.2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BD69" s="64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</row>
    <row r="70" spans="1:99" ht="17.2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BD70" s="64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</row>
    <row r="71" spans="1:99" ht="17.2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BD71" s="64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</row>
    <row r="72" spans="1:99" ht="17.2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BD72" s="64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</row>
    <row r="73" spans="1:99" ht="17.2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BD73" s="64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</row>
    <row r="74" spans="1:99" ht="17.2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BD74" s="64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</row>
    <row r="75" spans="1:99" ht="17.2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BD75" s="64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</row>
    <row r="76" spans="1:99" ht="17.2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BD76" s="64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</row>
    <row r="77" spans="1:99" ht="17.2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BD77" s="64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</row>
    <row r="78" spans="1:99" ht="17.2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BD78" s="64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</row>
    <row r="79" spans="1:99" ht="17.2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BD79" s="64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</row>
    <row r="80" spans="1:99" ht="17.2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BD80" s="64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</row>
    <row r="81" spans="1:99" ht="17.2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BD81" s="64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</row>
    <row r="82" spans="1:99" ht="17.2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BD82" s="64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</row>
    <row r="83" spans="1:99" ht="17.2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BD83" s="64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</row>
    <row r="84" spans="1:99" ht="17.2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BD84" s="64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</row>
    <row r="85" spans="1:99" ht="17.2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BD85" s="64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</row>
    <row r="86" spans="1:99" ht="17.2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BD86" s="64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</row>
    <row r="87" spans="1:99" ht="17.2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BD87" s="64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</row>
    <row r="88" spans="1:99" ht="17.2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BD88" s="64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</row>
    <row r="89" spans="1:99" ht="17.2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BD89" s="64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</row>
    <row r="90" spans="1:99" ht="17.2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BD90" s="64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</row>
    <row r="91" spans="1:99" ht="17.2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BD91" s="64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</row>
    <row r="92" spans="1:99" ht="17.2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BD92" s="64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</row>
    <row r="93" spans="1:99" ht="17.2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BD93" s="64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</row>
    <row r="94" spans="1:99" ht="17.2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BD94" s="64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</row>
    <row r="95" spans="1:99" ht="17.2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BD95" s="64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</row>
    <row r="96" spans="1:99" ht="17.2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BD96" s="64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</row>
    <row r="97" spans="1:99" ht="17.2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BD97" s="64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</row>
    <row r="98" spans="1:99" ht="17.2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BD98" s="64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</row>
    <row r="99" spans="1:99" ht="17.2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BD99" s="64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</row>
    <row r="100" spans="1:99" ht="17.2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BD100" s="64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</row>
    <row r="101" spans="1:99" ht="17.2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BD101" s="64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</row>
    <row r="102" spans="1:99" ht="17.2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BD102" s="64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</row>
    <row r="103" spans="1:99" ht="17.2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BD103" s="64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</row>
    <row r="104" spans="1:99" ht="17.2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BD104" s="64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</row>
    <row r="105" spans="1:99" ht="17.2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BD105" s="64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</row>
    <row r="106" spans="1:99" ht="17.2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BD106" s="64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</row>
    <row r="107" spans="1:99" ht="17.2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BD107" s="64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</row>
    <row r="108" spans="1:99" ht="17.2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BD108" s="64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</row>
    <row r="109" spans="1:99" ht="17.2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BD109" s="64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</row>
    <row r="110" spans="1:99" ht="17.2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BD110" s="64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</row>
    <row r="111" spans="1:99" ht="17.2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BD111" s="64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</row>
    <row r="112" spans="1:99" ht="17.2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BD112" s="64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</row>
    <row r="113" spans="1:99" ht="17.2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BD113" s="64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</row>
    <row r="114" spans="1:99" ht="17.2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BD114" s="64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</row>
    <row r="115" spans="1:99" ht="17.2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BD115" s="64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</row>
    <row r="116" spans="1:99" ht="17.2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BD116" s="64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</row>
    <row r="117" spans="1:99" ht="17.2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BD117" s="64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</row>
    <row r="118" spans="1:99" ht="17.2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BD118" s="64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</row>
    <row r="119" spans="1:99" ht="17.2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BD119" s="64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</row>
    <row r="120" spans="1:99" ht="17.2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BD120" s="64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</row>
    <row r="121" spans="1:99" ht="17.2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BD121" s="64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</row>
    <row r="122" spans="1:99" ht="17.2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BD122" s="64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</row>
    <row r="123" spans="1:99" ht="17.2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BD123" s="64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</row>
    <row r="124" spans="1:99" ht="17.2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BD124" s="64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</row>
    <row r="125" spans="1:99" ht="17.2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BD125" s="64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</row>
    <row r="126" spans="1:99" ht="17.2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BD126" s="64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</row>
    <row r="127" spans="1:99" ht="17.2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BD127" s="64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</row>
    <row r="128" spans="1:99" ht="17.2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BD128" s="64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</row>
    <row r="129" spans="1:99" ht="17.2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BD129" s="64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</row>
    <row r="130" spans="1:99" ht="17.2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BD130" s="64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</row>
    <row r="131" spans="1:99" ht="17.2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BD131" s="64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</row>
    <row r="132" spans="1:99" ht="17.2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BD132" s="64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</row>
    <row r="133" spans="1:99" ht="17.2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BD133" s="64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</row>
    <row r="134" spans="1:99" ht="17.2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BD134" s="64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</row>
    <row r="135" spans="1:99" ht="17.2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BD135" s="64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</row>
    <row r="136" spans="1:99" ht="17.2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BD136" s="64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</row>
    <row r="137" spans="1:99" ht="17.2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BD137" s="64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</row>
    <row r="138" spans="1:99" ht="17.2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BD138" s="64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</row>
    <row r="139" spans="1:99" ht="17.2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BD139" s="64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</row>
    <row r="140" spans="1:99" ht="17.2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BD140" s="64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</row>
    <row r="141" spans="1:99" ht="17.2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BD141" s="64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</row>
    <row r="142" spans="1:99" ht="17.2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BD142" s="64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</row>
    <row r="143" spans="1:99" ht="17.2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BD143" s="64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</row>
    <row r="144" spans="1:99" ht="17.2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BD144" s="64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</row>
    <row r="145" spans="1:99" ht="17.2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BD145" s="64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</row>
    <row r="146" spans="1:99" ht="17.2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BD146" s="64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</row>
    <row r="147" spans="1:99" ht="17.2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BD147" s="64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</row>
    <row r="148" spans="1:99" ht="17.2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BD148" s="64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</row>
    <row r="149" spans="1:99" ht="17.2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BD149" s="64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</row>
    <row r="150" spans="1:99" ht="17.2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BD150" s="64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</row>
    <row r="151" spans="1:99" ht="17.2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BD151" s="64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</row>
    <row r="152" spans="1:99" ht="17.2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BD152" s="64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</row>
    <row r="153" spans="1:99" ht="17.2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BD153" s="64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</row>
    <row r="154" spans="1:99" ht="17.2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BD154" s="64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</row>
    <row r="155" spans="1:99" ht="17.2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BD155" s="64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</row>
    <row r="156" spans="1:99" ht="17.2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BD156" s="64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</row>
    <row r="157" spans="1:99" ht="17.2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BD157" s="64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</row>
    <row r="158" spans="1:99" ht="17.2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BD158" s="64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</row>
    <row r="159" spans="1:99" ht="17.2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BD159" s="64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</row>
    <row r="160" spans="1:99" ht="17.2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BD160" s="64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</row>
    <row r="161" spans="1:99" ht="17.2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BD161" s="64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</row>
    <row r="162" spans="1:99" ht="17.2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BD162" s="64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</row>
    <row r="163" spans="1:99" ht="17.2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BD163" s="64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</row>
    <row r="164" spans="1:99" ht="17.2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BD164" s="64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</row>
    <row r="165" spans="1:99" ht="17.2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BD165" s="64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</row>
    <row r="166" spans="1:99" ht="17.2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BD166" s="64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</row>
    <row r="167" spans="1:99" ht="17.2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BD167" s="64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</row>
    <row r="168" spans="1:99" ht="17.2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BD168" s="64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</row>
    <row r="169" spans="1:99" ht="17.2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BD169" s="64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</row>
    <row r="170" spans="1:99" ht="17.2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BD170" s="64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</row>
    <row r="171" spans="1:99" ht="17.2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BD171" s="64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</row>
    <row r="172" spans="1:99" ht="17.2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BD172" s="64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</row>
    <row r="173" spans="1:99" ht="17.2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BD173" s="64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</row>
    <row r="174" spans="1:99" ht="17.2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BD174" s="64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</row>
    <row r="175" spans="1:99" ht="17.2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BD175" s="64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</row>
    <row r="176" spans="1:99" ht="17.2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BD176" s="64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</row>
    <row r="177" spans="1:99" ht="17.2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BD177" s="64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</row>
    <row r="178" spans="1:99" ht="17.2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BD178" s="64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</row>
    <row r="179" spans="1:99" ht="17.2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BD179" s="64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</row>
    <row r="180" spans="1:99" ht="17.2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BD180" s="64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</row>
    <row r="181" spans="1:99" ht="17.2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BD181" s="64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</row>
    <row r="182" spans="1:99" ht="17.2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BD182" s="64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</row>
    <row r="183" spans="1:99" ht="17.2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BD183" s="64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</row>
    <row r="184" spans="1:99" ht="17.2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BD184" s="64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</row>
    <row r="185" spans="1:99" ht="17.2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BD185" s="64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</row>
    <row r="186" spans="1:99" ht="17.2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BD186" s="64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</row>
    <row r="187" spans="1:99" ht="17.2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BD187" s="64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</row>
    <row r="188" spans="1:99" ht="17.2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BD188" s="64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</row>
    <row r="189" spans="1:99" ht="17.2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BD189" s="64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</row>
    <row r="190" spans="1:99" ht="17.2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BD190" s="64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</row>
    <row r="191" spans="1:99" ht="17.2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BD191" s="64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</row>
    <row r="192" spans="1:99" ht="17.2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BD192" s="64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</row>
    <row r="193" spans="1:99" ht="17.2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BD193" s="64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</row>
    <row r="194" spans="1:99" ht="17.2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BD194" s="64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</row>
    <row r="195" spans="1:99" ht="17.2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BD195" s="64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</row>
    <row r="196" spans="1:99" ht="17.2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BD196" s="64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</row>
    <row r="197" spans="1:99" ht="17.2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BD197" s="64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</row>
    <row r="198" spans="1:99" ht="17.2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BD198" s="64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</row>
    <row r="199" spans="1:99" ht="17.2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BD199" s="64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</row>
    <row r="200" spans="1:99" ht="17.2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BD200" s="64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</row>
    <row r="201" spans="1:99" ht="17.2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BD201" s="64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</row>
    <row r="202" spans="1:99" ht="17.2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BD202" s="64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</row>
    <row r="203" spans="1:99" ht="17.2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BD203" s="64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</row>
    <row r="204" spans="1:99" ht="17.2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BD204" s="64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</row>
    <row r="205" spans="1:99" ht="17.2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BD205" s="64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</row>
    <row r="206" spans="1:99" ht="17.2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BD206" s="64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</row>
    <row r="207" spans="1:99" ht="17.2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BD207" s="64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</row>
    <row r="208" spans="1:99" ht="17.2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BD208" s="64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</row>
    <row r="209" spans="1:99" ht="17.2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BD209" s="64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</row>
    <row r="210" spans="1:99" ht="17.2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BD210" s="64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</row>
    <row r="211" spans="1:99" ht="17.2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BD211" s="64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</row>
    <row r="212" spans="1:99" ht="17.2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BD212" s="64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</row>
    <row r="213" spans="1:99" ht="17.2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BD213" s="64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</row>
    <row r="214" spans="1:99" ht="17.2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BD214" s="64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</row>
    <row r="215" spans="1:99" ht="17.2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BD215" s="64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</row>
    <row r="216" spans="1:99" ht="17.2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BD216" s="64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</row>
    <row r="217" spans="1:99" ht="17.2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BD217" s="64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</row>
    <row r="218" spans="1:99" ht="17.2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BD218" s="64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</row>
    <row r="219" spans="1:99" ht="17.2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BD219" s="64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</row>
    <row r="220" spans="1:99" ht="17.2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BD220" s="64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</row>
    <row r="221" spans="1:99" ht="17.2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BD221" s="64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</row>
    <row r="222" spans="1:99" ht="17.2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BD222" s="64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</row>
    <row r="223" spans="1:99" ht="17.2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BD223" s="64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</row>
    <row r="224" spans="1:99" ht="17.2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BD224" s="64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</row>
    <row r="225" spans="1:99" ht="17.2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BD225" s="64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</row>
    <row r="226" spans="1:99" ht="17.2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BD226" s="64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</row>
    <row r="227" spans="1:99" ht="17.2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BD227" s="64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</row>
    <row r="228" spans="1:99" ht="17.2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BD228" s="64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</row>
    <row r="229" spans="1:99" ht="17.2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BD229" s="64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</row>
    <row r="230" spans="1:99" ht="17.2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BD230" s="64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</row>
    <row r="231" spans="1:99" ht="17.2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BD231" s="64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</row>
    <row r="232" spans="1:99" ht="17.2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BD232" s="64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</row>
    <row r="233" spans="1:99" ht="17.2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BD233" s="64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</row>
    <row r="234" spans="1:99" ht="17.2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BD234" s="64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</row>
    <row r="235" spans="1:99" ht="17.2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BD235" s="64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</row>
    <row r="236" spans="1:99" ht="17.2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BD236" s="64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</row>
    <row r="237" spans="1:99" ht="17.2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BD237" s="64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</row>
    <row r="238" spans="1:99" ht="17.2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BD238" s="64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</row>
    <row r="239" spans="1:99" ht="17.2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BD239" s="64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</row>
    <row r="240" spans="1:99" ht="17.2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BD240" s="64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</row>
    <row r="241" spans="1:99" ht="17.2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BD241" s="64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</row>
    <row r="242" spans="1:99" ht="17.2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BD242" s="64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</row>
    <row r="243" spans="1:99" ht="17.2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BD243" s="64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</row>
    <row r="244" spans="1:99" ht="17.2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BD244" s="64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</row>
    <row r="245" spans="1:99" ht="17.2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BD245" s="64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</row>
    <row r="246" spans="1:99" ht="17.2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BD246" s="64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</row>
    <row r="247" spans="1:99" ht="17.2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BD247" s="64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</row>
    <row r="248" spans="1:99" ht="17.2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BD248" s="64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</row>
    <row r="249" spans="1:99" ht="17.2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BD249" s="64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</row>
    <row r="250" spans="1:99" ht="17.2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BD250" s="64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</row>
    <row r="251" spans="1:99" ht="17.2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BD251" s="64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</row>
    <row r="252" spans="1:99" ht="17.2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BD252" s="64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</row>
    <row r="253" spans="1:99" ht="17.2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BD253" s="64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</row>
    <row r="254" spans="1:99" ht="17.2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BD254" s="64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</row>
    <row r="255" spans="1:99" ht="17.2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BD255" s="64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</row>
    <row r="256" spans="1:99" ht="17.2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BD256" s="64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</row>
    <row r="257" spans="1:99" ht="17.2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BD257" s="64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</row>
    <row r="258" spans="1:99" ht="17.2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BD258" s="64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</row>
    <row r="259" spans="1:99" ht="17.2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BD259" s="64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</row>
    <row r="260" spans="1:99" ht="17.2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BD260" s="64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</row>
    <row r="261" spans="1:99" ht="17.2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BD261" s="64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</row>
    <row r="262" spans="1:99" ht="17.2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BD262" s="64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</row>
    <row r="263" spans="1:99" ht="17.2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BD263" s="64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</row>
    <row r="264" spans="1:99" ht="17.2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BD264" s="64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</row>
    <row r="265" spans="1:99" ht="17.2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BD265" s="64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</row>
    <row r="266" spans="1:99" ht="17.2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BD266" s="64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</row>
    <row r="267" spans="1:99" ht="17.2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BD267" s="64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</row>
    <row r="268" spans="1:99" ht="17.2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BD268" s="64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</row>
    <row r="269" spans="1:99" ht="17.2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BD269" s="64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</row>
    <row r="270" spans="1:99" ht="17.2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BD270" s="64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</row>
    <row r="271" spans="1:99" ht="17.2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BD271" s="64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</row>
    <row r="272" spans="1:99" ht="17.2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BD272" s="64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</row>
    <row r="273" spans="1:99" ht="17.2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BD273" s="64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</row>
    <row r="274" spans="1:99" ht="17.2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BD274" s="64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</row>
    <row r="275" spans="1:99" ht="17.2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BD275" s="64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</row>
    <row r="276" spans="1:99" ht="17.2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BD276" s="64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</row>
    <row r="277" spans="1:99" ht="17.2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BD277" s="64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</row>
    <row r="278" spans="1:99" ht="17.2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BD278" s="64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</row>
    <row r="279" spans="1:99" ht="17.2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BD279" s="64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</row>
    <row r="280" spans="1:99" ht="17.2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BD280" s="64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</row>
    <row r="281" spans="1:99" ht="17.2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BD281" s="64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</row>
    <row r="282" spans="1:99" ht="17.2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BD282" s="64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</row>
    <row r="283" spans="1:99" ht="17.2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BD283" s="64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</row>
    <row r="284" spans="1:99" ht="17.2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BD284" s="64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</row>
    <row r="285" spans="1:99" ht="17.2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BD285" s="64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</row>
    <row r="286" spans="1:99" ht="17.2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BD286" s="64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</row>
    <row r="287" spans="1:99" ht="17.2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BD287" s="64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</row>
    <row r="288" spans="1:99" ht="17.2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BD288" s="64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</row>
    <row r="289" spans="1:99" ht="17.2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BD289" s="64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</row>
    <row r="290" spans="1:99" ht="17.2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BD290" s="64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</row>
    <row r="291" spans="1:99" ht="17.2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BD291" s="64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</row>
    <row r="292" spans="1:99" ht="17.2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BD292" s="64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</row>
    <row r="293" spans="1:99" ht="17.2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BD293" s="64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</row>
    <row r="294" spans="1:99" ht="17.2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BD294" s="64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</row>
    <row r="295" spans="1:99" ht="17.2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BD295" s="64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</row>
    <row r="296" spans="1:99" ht="17.2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BD296" s="64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</row>
    <row r="297" spans="1:99" ht="17.2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BD297" s="64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</row>
    <row r="298" spans="1:99" ht="17.2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BD298" s="64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</row>
    <row r="299" spans="1:99" ht="17.2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BD299" s="64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</row>
    <row r="300" spans="1:99" ht="17.2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BD300" s="64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</row>
    <row r="301" spans="1:99" ht="17.2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BD301" s="64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</row>
    <row r="302" spans="1:99" ht="17.2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BD302" s="64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</row>
    <row r="303" spans="1:99" ht="17.2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BD303" s="64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</row>
    <row r="304" spans="1:99" ht="17.2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BD304" s="64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</row>
    <row r="305" spans="1:99" ht="17.2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BD305" s="64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</row>
    <row r="306" spans="1:99" ht="17.2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BD306" s="64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</row>
    <row r="307" spans="1:99" ht="17.2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BD307" s="64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</row>
    <row r="308" spans="1:99" ht="17.2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BD308" s="64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</row>
    <row r="309" spans="1:99" ht="17.2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BD309" s="64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</row>
    <row r="310" spans="1:99" ht="17.2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BD310" s="64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</row>
    <row r="311" spans="1:99" ht="17.2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BD311" s="64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</row>
    <row r="312" spans="1:99" ht="17.2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BD312" s="64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</row>
    <row r="313" spans="1:99" ht="17.2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BD313" s="64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</row>
    <row r="314" spans="1:99" ht="17.2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BD314" s="64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</row>
    <row r="315" spans="1:99" ht="17.2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BD315" s="64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</row>
    <row r="316" spans="1:99" ht="17.2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BD316" s="64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</row>
    <row r="317" spans="1:99" ht="17.2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BD317" s="64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</row>
    <row r="318" spans="1:99" ht="17.2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BD318" s="64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</row>
    <row r="319" spans="1:99" ht="17.2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BD319" s="64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</row>
    <row r="320" spans="1:99" ht="17.2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BD320" s="64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</row>
    <row r="321" spans="1:99" ht="17.2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BD321" s="64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</row>
    <row r="322" spans="1:99" ht="17.2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BD322" s="64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</row>
    <row r="323" spans="1:99" ht="17.2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BD323" s="64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</row>
    <row r="324" spans="1:99" ht="17.2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BD324" s="64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</row>
    <row r="325" spans="1:99" ht="17.2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BD325" s="64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</row>
    <row r="326" spans="1:99" ht="17.2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BD326" s="64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</row>
    <row r="327" spans="1:99" ht="17.2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BD327" s="64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</row>
    <row r="328" spans="1:99" ht="17.2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BD328" s="64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</row>
    <row r="329" spans="1:99" ht="17.2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BD329" s="64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</row>
    <row r="330" spans="1:99" ht="17.2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BD330" s="64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</row>
    <row r="331" spans="1:99" ht="17.2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BD331" s="64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</row>
    <row r="332" spans="1:99" ht="17.2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BD332" s="64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</row>
    <row r="333" spans="1:99" ht="17.2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BD333" s="64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</row>
    <row r="334" spans="1:99" ht="17.2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BD334" s="64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</row>
    <row r="335" spans="1:99" ht="17.2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BD335" s="64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</row>
    <row r="336" spans="1:99" ht="17.2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BD336" s="64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</row>
    <row r="337" spans="1:99" ht="17.2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BD337" s="64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</row>
    <row r="338" spans="1:99" ht="17.2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BD338" s="64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</row>
    <row r="339" spans="1:99" ht="17.2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BD339" s="64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</row>
    <row r="340" spans="1:99" ht="17.2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BD340" s="64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</row>
    <row r="341" spans="1:99" ht="17.2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BD341" s="64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</row>
    <row r="342" spans="1:99" ht="17.2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BD342" s="64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</row>
    <row r="343" spans="1:99" ht="17.2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BD343" s="64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</row>
    <row r="344" spans="1:99" ht="17.2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BD344" s="64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</row>
    <row r="345" spans="1:99" ht="17.2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BD345" s="64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</row>
    <row r="346" spans="1:99" ht="17.2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BD346" s="64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</row>
    <row r="347" spans="1:99" ht="17.2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BD347" s="64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</row>
    <row r="348" spans="1:99" ht="17.2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BD348" s="64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</row>
    <row r="349" spans="1:99" ht="17.2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BD349" s="64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</row>
    <row r="350" spans="1:99" ht="17.2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BD350" s="64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</row>
    <row r="351" spans="1:99" ht="17.2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BD351" s="64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</row>
    <row r="352" spans="1:99" ht="17.2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BD352" s="64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</row>
    <row r="353" spans="1:99" ht="17.2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BD353" s="64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</row>
    <row r="354" spans="1:99" ht="17.2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BD354" s="64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</row>
    <row r="355" spans="1:99" ht="17.2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BD355" s="64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</row>
    <row r="356" spans="1:99" ht="17.2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BD356" s="64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</row>
    <row r="357" spans="1:99" ht="17.2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BD357" s="64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</row>
    <row r="358" spans="1:99" ht="17.2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BD358" s="64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</row>
    <row r="359" spans="1:99" ht="17.2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BD359" s="64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</row>
    <row r="360" spans="1:99" ht="17.2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BD360" s="64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</row>
    <row r="361" spans="1:99" ht="17.2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BD361" s="64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</row>
    <row r="362" spans="1:99" ht="17.2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BD362" s="64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</row>
    <row r="363" spans="1:99" ht="17.2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BD363" s="64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</row>
    <row r="364" spans="1:99" ht="17.2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BD364" s="64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</row>
    <row r="365" spans="1:99" ht="17.2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BD365" s="64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</row>
    <row r="366" spans="1:99" ht="17.2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BD366" s="64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</row>
    <row r="367" spans="1:99" ht="17.2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BD367" s="64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</row>
    <row r="368" spans="1:99" ht="17.2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BD368" s="64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</row>
    <row r="369" spans="1:99" ht="17.2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BD369" s="64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</row>
    <row r="370" spans="1:99" ht="17.2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BD370" s="64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</row>
    <row r="371" spans="1:99" ht="17.2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BD371" s="64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</row>
    <row r="372" spans="1:99" ht="17.2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spans="1:99" ht="17.2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spans="1:99" ht="17.2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spans="1:99" ht="17.2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spans="1:99" ht="17.2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spans="1:99" ht="17.2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spans="1:99" ht="17.2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spans="1:99" ht="17.2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spans="1:99" ht="17.2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spans="1:99" ht="17.2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spans="1:99" ht="17.2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spans="1:99" ht="17.2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spans="1:99" ht="17.2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spans="1:49" ht="17.2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spans="1:49" ht="17.2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spans="1:49" ht="17.2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spans="1:49" ht="17.2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spans="1:49" ht="17.2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spans="1:49" ht="17.2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spans="1:49" ht="17.2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spans="1:49" ht="17.2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spans="1:49" ht="17.2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spans="1:49" ht="17.2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spans="1:49" ht="17.2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spans="1:49" ht="17.2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spans="1:49" ht="17.2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spans="1:49" ht="17.2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spans="1:49" ht="17.2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spans="1:49" ht="17.2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spans="1:49" ht="17.2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spans="1:49" ht="17.2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spans="1:49" ht="17.2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spans="1:49" ht="17.2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spans="1:49" ht="17.2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spans="1:49" ht="17.2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spans="1:49" ht="17.2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spans="1:49" ht="17.2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spans="1:49" ht="17.2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spans="1:49" ht="17.2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spans="1:49" ht="17.2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spans="1:49" ht="17.2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spans="1:49" ht="17.2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spans="1:49" ht="17.2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spans="1:49" ht="17.2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spans="1:49" ht="17.2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spans="1:49" ht="17.2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spans="1:49" ht="17.2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spans="1:49" ht="17.2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spans="1:49" ht="17.2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spans="1:49" ht="17.2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spans="1:49" ht="17.2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spans="1:49" ht="17.2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spans="1:49" ht="17.2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spans="1:49" ht="17.2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spans="1:49" ht="17.2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spans="1:49" ht="17.2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spans="1:49" ht="17.2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spans="1:49" ht="17.2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spans="1:49" ht="17.2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spans="1:49" ht="17.2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spans="1:49" ht="17.2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spans="1:49" ht="17.2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spans="1:49" ht="17.2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spans="1:49" ht="17.2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spans="1:49" ht="17.2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spans="1:49" ht="17.2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spans="1:49" ht="17.2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spans="1:49" ht="17.2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spans="1:49" ht="17.2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spans="1:49" ht="17.2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spans="1:49" ht="17.2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spans="1:49" ht="17.2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spans="1:49" ht="17.2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spans="1:49" ht="17.2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spans="1:49" ht="17.2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spans="1:49" ht="17.2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spans="1:49" ht="17.2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spans="1:49" ht="17.2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spans="1:49" ht="17.2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spans="1:49" ht="17.2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spans="1:49" ht="17.2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spans="1:49" ht="17.2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spans="1:49" ht="17.2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spans="1:49" ht="17.2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spans="1:49" ht="17.2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spans="1:49" ht="17.2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spans="1:49" ht="17.2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spans="1:49" ht="17.2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spans="1:49" ht="17.2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spans="1:49" ht="17.2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spans="1:49" ht="17.2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spans="1:49" ht="17.2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spans="1:49" ht="17.2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spans="1:49" ht="17.2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spans="1:49" ht="17.2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spans="1:49" ht="17.2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spans="1:49" ht="17.2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spans="1:49" ht="17.2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spans="1:49" ht="17.2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spans="1:49" ht="17.2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spans="1:49" ht="17.2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spans="1:49" ht="17.2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spans="1:49" ht="17.2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spans="1:49" ht="17.2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spans="1:49" ht="17.2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spans="1:49" ht="17.2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spans="1:49" ht="17.2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spans="1:49" ht="17.2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spans="1:49" ht="17.2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spans="1:49" ht="17.2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spans="1:49" ht="17.2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spans="1:49" ht="17.2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spans="1:49" ht="17.2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 spans="1:49" ht="17.2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 spans="1:49" ht="17.2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 spans="1:49" ht="17.2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 spans="1:49" ht="17.2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 spans="1:49" ht="17.2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 spans="1:49" ht="17.2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 spans="1:49" ht="17.2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 spans="1:49" ht="17.2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 spans="1:49" ht="17.2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 spans="1:49" ht="17.2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spans="1:49" ht="17.2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spans="1:49" ht="17.2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 spans="1:49" ht="17.2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 spans="1:49" ht="17.2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 spans="1:49" ht="17.2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 spans="1:49" ht="17.2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 spans="1:49" ht="17.2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 spans="1:49" ht="17.2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 spans="1:49" ht="17.2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 spans="1:49" ht="17.2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 spans="1:49" ht="17.2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 spans="1:49" ht="17.2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 spans="1:49" ht="17.2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 spans="1:49" ht="17.2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 spans="1:49" ht="17.2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 spans="1:49" ht="17.2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 spans="1:49" ht="17.2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 spans="1:49" ht="17.2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 spans="1:49" ht="17.2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 spans="1:49" ht="17.2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 spans="1:49" ht="17.2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 spans="1:49" ht="17.2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 spans="1:49" ht="17.2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 spans="1:49" ht="17.2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  <row r="519" spans="1:49" ht="17.2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</row>
    <row r="520" spans="1:49" ht="17.2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</row>
    <row r="521" spans="1:49" ht="17.2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</row>
    <row r="522" spans="1:49" ht="17.2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</row>
    <row r="523" spans="1:49" ht="17.2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</row>
    <row r="524" spans="1:49" ht="17.2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</row>
    <row r="525" spans="1:49" ht="17.2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</row>
    <row r="526" spans="1:49" ht="17.2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</row>
    <row r="527" spans="1:49" ht="17.2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</row>
    <row r="528" spans="1:49" ht="17.2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</row>
    <row r="529" spans="1:49" ht="17.2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</row>
    <row r="530" spans="1:49" ht="17.2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</row>
    <row r="531" spans="1:49" ht="17.2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</row>
    <row r="532" spans="1:49" ht="17.2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</row>
    <row r="533" spans="1:49" ht="17.2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</row>
    <row r="534" spans="1:49" ht="17.2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</row>
    <row r="535" spans="1:49" ht="17.2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</row>
    <row r="536" spans="1:49" ht="17.2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</row>
    <row r="537" spans="1:49" ht="17.2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</row>
    <row r="538" spans="1:49" ht="17.2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</row>
    <row r="539" spans="1:49" ht="17.2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</row>
    <row r="540" spans="1:49" ht="17.2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</row>
    <row r="541" spans="1:49" ht="17.2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</row>
    <row r="542" spans="1:49" ht="17.2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</row>
    <row r="543" spans="1:49" ht="17.2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</row>
    <row r="544" spans="1:49" ht="17.2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</row>
    <row r="545" spans="1:49" ht="17.2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</row>
    <row r="546" spans="1:49" ht="17.2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</row>
    <row r="547" spans="1:49" ht="17.2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</row>
    <row r="548" spans="1:49" ht="17.2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</row>
    <row r="549" spans="1:49" ht="17.2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</row>
    <row r="550" spans="1:49" ht="17.2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</row>
    <row r="551" spans="1:49" ht="17.2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</row>
    <row r="552" spans="1:49" ht="17.2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</row>
    <row r="553" spans="1:49" ht="17.2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</row>
    <row r="554" spans="1:49" ht="17.2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</row>
    <row r="555" spans="1:49" ht="17.2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</row>
    <row r="556" spans="1:49" ht="17.2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</row>
    <row r="557" spans="1:49" ht="17.2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</row>
    <row r="558" spans="1:49" ht="17.2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</row>
    <row r="559" spans="1:49" ht="17.2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</row>
    <row r="560" spans="1:49" ht="17.2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</row>
    <row r="561" spans="1:49" ht="17.2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</row>
    <row r="562" spans="1:49" ht="17.2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</row>
    <row r="563" spans="1:49" ht="17.2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</row>
    <row r="564" spans="1:49" ht="17.2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</row>
    <row r="565" spans="1:49" ht="17.2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</row>
    <row r="566" spans="1:49" ht="17.2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</row>
    <row r="567" spans="1:49" ht="17.2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</row>
    <row r="568" spans="1:49" ht="17.2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</row>
    <row r="569" spans="1:49" ht="17.2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</row>
    <row r="570" spans="1:49" ht="17.2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</row>
    <row r="571" spans="1:49" ht="17.2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</row>
    <row r="572" spans="1:49" ht="17.2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</row>
    <row r="573" spans="1:49" ht="17.2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</row>
    <row r="574" spans="1:49" ht="17.2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</row>
    <row r="575" spans="1:49" ht="17.2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</row>
    <row r="576" spans="1:49" ht="17.2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</row>
    <row r="577" spans="1:49" ht="17.2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</row>
    <row r="578" spans="1:49" ht="17.2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</row>
    <row r="579" spans="1:49" ht="17.2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</row>
    <row r="580" spans="1:49" ht="17.2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</row>
    <row r="581" spans="1:49" ht="17.2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</row>
    <row r="582" spans="1:49" ht="17.2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</row>
    <row r="583" spans="1:49" ht="17.2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</row>
    <row r="584" spans="1:49" ht="17.2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</row>
    <row r="585" spans="1:49" ht="17.2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</row>
    <row r="586" spans="1:49" ht="17.2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</row>
    <row r="587" spans="1:49" ht="17.2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</row>
    <row r="588" spans="1:49" ht="17.2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</row>
    <row r="589" spans="1:49" ht="17.2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</row>
    <row r="590" spans="1:49" ht="17.2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</row>
    <row r="591" spans="1:49" ht="17.2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</row>
    <row r="592" spans="1:49" ht="17.2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</row>
    <row r="593" spans="1:49" ht="17.2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</row>
    <row r="594" spans="1:49" ht="17.2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</row>
    <row r="595" spans="1:49" ht="17.2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</row>
    <row r="596" spans="1:49" ht="17.2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</row>
    <row r="597" spans="1:49" ht="17.2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</row>
    <row r="598" spans="1:49" ht="17.2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</row>
    <row r="599" spans="1:49" ht="17.2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</row>
    <row r="600" spans="1:49" ht="17.2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</row>
    <row r="601" spans="1:49" ht="17.2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</row>
    <row r="602" spans="1:49" ht="17.2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</row>
    <row r="603" spans="1:49" ht="17.2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</row>
    <row r="604" spans="1:49" ht="17.2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</row>
    <row r="605" spans="1:49" ht="17.2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</row>
    <row r="606" spans="1:49" ht="17.2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</row>
    <row r="607" spans="1:49" ht="17.2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</row>
    <row r="608" spans="1:49" ht="17.2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</row>
    <row r="609" spans="1:49" ht="17.2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</row>
    <row r="610" spans="1:49" ht="17.2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</row>
    <row r="611" spans="1:49" ht="17.2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</row>
    <row r="612" spans="1:49" ht="17.2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</row>
    <row r="613" spans="1:49" ht="17.2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</row>
    <row r="614" spans="1:49" ht="17.2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</row>
    <row r="615" spans="1:49" ht="17.2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</row>
    <row r="616" spans="1:49" ht="17.2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</row>
    <row r="617" spans="1:49" ht="17.2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</row>
    <row r="618" spans="1:49" ht="17.2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</row>
    <row r="619" spans="1:49" ht="17.2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</row>
    <row r="620" spans="1:49" ht="17.2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</row>
    <row r="621" spans="1:49" ht="17.2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</row>
    <row r="622" spans="1:49" ht="17.2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</row>
    <row r="623" spans="1:49" ht="17.2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</row>
    <row r="624" spans="1:49" ht="17.2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</row>
    <row r="625" spans="1:49" ht="17.2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</row>
    <row r="626" spans="1:49" ht="17.2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</row>
    <row r="627" spans="1:49" ht="17.2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</row>
    <row r="628" spans="1:49" ht="17.2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</row>
    <row r="629" spans="1:49" ht="17.2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</row>
    <row r="630" spans="1:49" ht="17.2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</row>
    <row r="631" spans="1:49" ht="17.2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</row>
    <row r="632" spans="1:49" ht="17.2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</row>
    <row r="633" spans="1:49" ht="17.2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</row>
    <row r="634" spans="1:49" ht="17.2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</row>
    <row r="635" spans="1:49" ht="17.2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</row>
    <row r="636" spans="1:49" ht="17.2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</row>
    <row r="637" spans="1:49" ht="17.2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</row>
    <row r="638" spans="1:49" ht="17.2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</row>
    <row r="639" spans="1:49" ht="17.2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</row>
    <row r="640" spans="1:49" ht="17.2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</row>
    <row r="641" spans="1:49" ht="17.2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</row>
    <row r="642" spans="1:49" ht="17.2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</row>
    <row r="643" spans="1:49" ht="17.2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</row>
    <row r="644" spans="1:49" ht="17.2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</row>
    <row r="645" spans="1:49" ht="17.2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</row>
    <row r="646" spans="1:49" ht="17.2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</row>
    <row r="647" spans="1:49" ht="17.2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</row>
    <row r="648" spans="1:49" ht="17.2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</row>
    <row r="649" spans="1:49" ht="17.2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</row>
    <row r="650" spans="1:49" ht="17.2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</row>
    <row r="651" spans="1:49" ht="17.2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</row>
    <row r="652" spans="1:49" ht="17.2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</row>
    <row r="653" spans="1:49" ht="17.2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</row>
    <row r="654" spans="1:49" ht="17.2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</row>
    <row r="655" spans="1:49" ht="17.2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</row>
    <row r="656" spans="1:49" ht="17.2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</row>
    <row r="657" spans="1:49" ht="17.2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</row>
    <row r="658" spans="1:49" ht="17.2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</row>
    <row r="659" spans="1:49" ht="17.2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</row>
    <row r="660" spans="1:49" ht="17.2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</row>
    <row r="661" spans="1:49" ht="17.2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</row>
    <row r="662" spans="1:49" ht="17.2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</row>
    <row r="663" spans="1:49" ht="17.2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</row>
    <row r="664" spans="1:49" ht="17.2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</row>
    <row r="665" spans="1:49" ht="17.2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</row>
    <row r="666" spans="1:49" ht="17.2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</row>
    <row r="667" spans="1:49" ht="17.2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</row>
    <row r="668" spans="1:49" ht="17.2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</row>
    <row r="669" spans="1:49" ht="17.2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</row>
    <row r="670" spans="1:49" ht="17.2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</row>
    <row r="671" spans="1:49" ht="17.2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</row>
    <row r="672" spans="1:49" ht="17.2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</row>
    <row r="673" spans="1:49" ht="17.2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</row>
    <row r="674" spans="1:49" ht="17.2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</row>
    <row r="675" spans="1:49" ht="17.2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</row>
    <row r="676" spans="1:49" ht="17.2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</row>
    <row r="677" spans="1:49" ht="17.2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</row>
    <row r="678" spans="1:49" ht="17.2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</row>
    <row r="679" spans="1:49" ht="17.2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</row>
    <row r="680" spans="1:49" ht="17.2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</row>
    <row r="681" spans="1:49" ht="17.2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</row>
    <row r="682" spans="1:49" ht="17.2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</row>
    <row r="683" spans="1:49" ht="17.2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</row>
    <row r="684" spans="1:49" ht="17.2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</row>
    <row r="685" spans="1:49" ht="17.2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</row>
    <row r="686" spans="1:49" ht="17.2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</row>
    <row r="687" spans="1:49" ht="17.2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</row>
    <row r="688" spans="1:49" ht="17.2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</row>
    <row r="689" spans="1:49" ht="17.2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</row>
    <row r="690" spans="1:49" ht="17.2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</row>
    <row r="691" spans="1:49" ht="17.2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</row>
    <row r="692" spans="1:49" ht="17.2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</row>
    <row r="693" spans="1:49" ht="17.2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</row>
    <row r="694" spans="1:49" ht="17.2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</row>
    <row r="695" spans="1:49" ht="17.2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</row>
    <row r="696" spans="1:49" ht="17.2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</row>
    <row r="697" spans="1:49" ht="17.2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</row>
    <row r="698" spans="1:49" ht="17.2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</row>
    <row r="699" spans="1:49" ht="17.2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</row>
    <row r="700" spans="1:49" ht="17.2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</row>
    <row r="701" spans="1:49" ht="17.2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</row>
    <row r="702" spans="1:49" ht="17.2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</row>
    <row r="703" spans="1:49" ht="17.2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</row>
    <row r="704" spans="1:49" ht="17.2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</row>
    <row r="705" spans="1:49" ht="17.2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</row>
    <row r="706" spans="1:49" ht="17.2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</row>
    <row r="707" spans="1:49" ht="17.2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</row>
    <row r="708" spans="1:49" ht="17.2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</row>
    <row r="709" spans="1:49" ht="17.2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</row>
    <row r="710" spans="1:49" ht="17.2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</row>
    <row r="711" spans="1:49" ht="17.2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</row>
    <row r="712" spans="1:49" ht="17.2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</row>
    <row r="713" spans="1:49" ht="17.2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</row>
    <row r="714" spans="1:49" ht="17.2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</row>
    <row r="715" spans="1:49" ht="17.2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</row>
    <row r="716" spans="1:49" ht="17.2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</row>
    <row r="717" spans="1:49" ht="17.2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</row>
    <row r="718" spans="1:49" ht="17.2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</row>
    <row r="719" spans="1:49" ht="17.2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</row>
    <row r="720" spans="1:49" ht="17.2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</row>
    <row r="721" spans="1:49" ht="17.2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</row>
    <row r="722" spans="1:49" ht="17.2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</row>
    <row r="723" spans="1:49" ht="17.2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</row>
    <row r="724" spans="1:49" ht="17.2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</row>
    <row r="725" spans="1:49" ht="17.2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</row>
    <row r="726" spans="1:49" ht="17.2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</row>
    <row r="727" spans="1:49" ht="17.2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</row>
    <row r="728" spans="1:49" ht="17.2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</row>
    <row r="729" spans="1:49" ht="17.2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</row>
    <row r="730" spans="1:49" ht="17.2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</row>
    <row r="731" spans="1:49" ht="17.2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</row>
    <row r="732" spans="1:49" ht="17.2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</row>
    <row r="733" spans="1:49" ht="17.2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</row>
    <row r="734" spans="1:49" ht="17.2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</row>
    <row r="735" spans="1:49" ht="17.2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</row>
    <row r="736" spans="1:49" ht="17.2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</row>
    <row r="737" spans="1:49" ht="17.2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</row>
    <row r="738" spans="1:49" ht="17.2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</row>
    <row r="739" spans="1:49" ht="17.2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</row>
    <row r="740" spans="1:49" ht="17.2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</row>
    <row r="741" spans="1:49" ht="17.2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</row>
    <row r="742" spans="1:49" ht="17.2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</row>
    <row r="743" spans="1:49" ht="17.2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</row>
    <row r="744" spans="1:49" ht="17.2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</row>
    <row r="745" spans="1:49" ht="17.2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</row>
    <row r="746" spans="1:49" ht="17.2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</row>
    <row r="747" spans="1:49" ht="17.2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</row>
    <row r="748" spans="1:49" ht="17.2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</row>
    <row r="749" spans="1:49" ht="17.2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</row>
    <row r="750" spans="1:49" ht="17.2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</row>
    <row r="751" spans="1:49" ht="17.2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</row>
    <row r="752" spans="1:49" ht="17.2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</row>
    <row r="753" spans="1:49" ht="17.2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</row>
    <row r="754" spans="1:49" ht="17.2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</row>
    <row r="755" spans="1:49" ht="17.2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</row>
    <row r="756" spans="1:49" ht="17.2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</row>
    <row r="757" spans="1:49" ht="17.2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</row>
    <row r="758" spans="1:49" ht="17.2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</row>
    <row r="759" spans="1:49" ht="17.2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</row>
    <row r="760" spans="1:49" ht="17.2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</row>
    <row r="761" spans="1:49" ht="17.2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</row>
    <row r="762" spans="1:49" ht="17.2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</row>
    <row r="763" spans="1:49" ht="17.2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</row>
    <row r="764" spans="1:49" ht="17.2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</row>
    <row r="765" spans="1:49" ht="17.2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</row>
    <row r="766" spans="1:49" ht="17.2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</row>
    <row r="767" spans="1:49" ht="17.2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</row>
    <row r="768" spans="1:49" ht="17.2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</row>
    <row r="769" spans="1:49" ht="17.2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</row>
    <row r="770" spans="1:49" ht="17.2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</row>
    <row r="771" spans="1:49" ht="17.2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</row>
    <row r="772" spans="1:49" ht="17.2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</row>
    <row r="773" spans="1:49" ht="17.2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</row>
    <row r="774" spans="1:49" ht="17.2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</row>
    <row r="775" spans="1:49" ht="17.2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</row>
    <row r="776" spans="1:49" ht="17.2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</row>
    <row r="777" spans="1:49" ht="17.2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</row>
    <row r="778" spans="1:49" ht="17.2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</row>
    <row r="779" spans="1:49" ht="17.2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</row>
    <row r="780" spans="1:49" ht="17.2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</row>
    <row r="781" spans="1:49" ht="17.2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</row>
    <row r="782" spans="1:49" ht="17.2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</row>
    <row r="783" spans="1:49" ht="17.2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</row>
    <row r="784" spans="1:49" ht="17.2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</row>
    <row r="785" spans="1:49" ht="17.2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</row>
    <row r="786" spans="1:49" ht="17.2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</row>
    <row r="787" spans="1:49" ht="17.2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</row>
    <row r="788" spans="1:49" ht="17.2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</row>
    <row r="789" spans="1:49" ht="17.2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</row>
    <row r="790" spans="1:49" ht="17.2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</row>
    <row r="791" spans="1:49" ht="17.2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</row>
    <row r="792" spans="1:49" ht="17.2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</row>
    <row r="793" spans="1:49" ht="17.2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</row>
    <row r="794" spans="1:49" ht="17.2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</row>
    <row r="795" spans="1:49" ht="17.2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</row>
    <row r="796" spans="1:49" ht="17.2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</row>
    <row r="797" spans="1:49" ht="17.2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</row>
    <row r="798" spans="1:49" ht="17.2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</row>
    <row r="799" spans="1:49" ht="17.2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</row>
    <row r="800" spans="1:49" ht="17.2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</row>
    <row r="801" spans="1:49" ht="17.2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</row>
    <row r="802" spans="1:49" ht="17.2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</row>
    <row r="803" spans="1:49" ht="17.2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</row>
    <row r="804" spans="1:49" ht="17.2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</row>
    <row r="805" spans="1:49" ht="17.2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</row>
    <row r="806" spans="1:49" ht="17.2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</row>
    <row r="807" spans="1:49" ht="17.2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</row>
    <row r="808" spans="1:49" ht="17.2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</row>
    <row r="809" spans="1:49" ht="17.2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</row>
    <row r="810" spans="1:49" ht="17.2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</row>
    <row r="811" spans="1:49" ht="17.2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</row>
    <row r="812" spans="1:49" ht="17.2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</row>
    <row r="813" spans="1:49" ht="17.2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</row>
    <row r="814" spans="1:49" ht="17.2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</row>
    <row r="815" spans="1:49" ht="17.2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</row>
    <row r="816" spans="1:49" ht="17.2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</row>
    <row r="817" spans="1:49" ht="17.2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</row>
    <row r="818" spans="1:49" ht="17.2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</row>
    <row r="819" spans="1:49" ht="17.2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</row>
    <row r="820" spans="1:49" ht="17.2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</row>
    <row r="821" spans="1:49" ht="17.2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</row>
    <row r="822" spans="1:49" ht="17.2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</row>
    <row r="823" spans="1:49" ht="17.2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</row>
    <row r="824" spans="1:49" ht="17.2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</row>
    <row r="825" spans="1:49" ht="17.2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</row>
    <row r="826" spans="1:49" ht="17.2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</row>
    <row r="827" spans="1:49" ht="17.2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</row>
    <row r="828" spans="1:49" ht="17.2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</row>
    <row r="829" spans="1:49" ht="17.2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</row>
    <row r="830" spans="1:49" ht="17.2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</row>
    <row r="831" spans="1:49" ht="17.2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</row>
    <row r="832" spans="1:49" ht="17.2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</row>
    <row r="833" spans="1:49" ht="17.2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</row>
    <row r="834" spans="1:49" ht="17.2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</row>
    <row r="835" spans="1:49" ht="17.2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</row>
    <row r="836" spans="1:49" ht="17.2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</row>
    <row r="837" spans="1:49" ht="17.2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</row>
    <row r="838" spans="1:49" ht="17.2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</row>
    <row r="839" spans="1:49" ht="17.2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</row>
    <row r="840" spans="1:49" ht="17.2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</row>
    <row r="841" spans="1:49" ht="17.2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</row>
    <row r="842" spans="1:49" ht="17.2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</row>
    <row r="843" spans="1:49" ht="17.2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</row>
    <row r="844" spans="1:49" ht="17.2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</row>
    <row r="845" spans="1:49" ht="17.2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</row>
    <row r="846" spans="1:49" ht="17.2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</row>
    <row r="847" spans="1:49" ht="17.2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</row>
    <row r="848" spans="1:49" ht="17.2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</row>
    <row r="849" spans="1:49" ht="17.2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</row>
    <row r="850" spans="1:49" ht="17.2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</row>
    <row r="851" spans="1:49" ht="17.2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</row>
    <row r="852" spans="1:49" ht="17.2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</row>
    <row r="853" spans="1:49" ht="17.2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</row>
    <row r="854" spans="1:49" ht="17.2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</row>
    <row r="855" spans="1:49" ht="17.2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</row>
    <row r="856" spans="1:49" ht="17.2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</row>
    <row r="857" spans="1:49" ht="17.2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</row>
    <row r="858" spans="1:49" ht="17.2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</row>
    <row r="859" spans="1:49" ht="17.2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</row>
    <row r="860" spans="1:49" ht="17.2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</row>
    <row r="861" spans="1:49" ht="17.2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</row>
    <row r="862" spans="1:49" ht="17.2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</row>
    <row r="863" spans="1:49" ht="17.2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</row>
    <row r="864" spans="1:49" ht="17.2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</row>
    <row r="865" spans="1:49" ht="17.2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</row>
    <row r="866" spans="1:49" ht="17.2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</row>
    <row r="867" spans="1:49" ht="17.2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</row>
    <row r="868" spans="1:49" ht="17.2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</row>
    <row r="869" spans="1:49" ht="17.2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</row>
    <row r="870" spans="1:49" ht="17.2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</row>
    <row r="871" spans="1:49" ht="17.2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</row>
    <row r="872" spans="1:49" ht="17.2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</row>
    <row r="873" spans="1:49" ht="17.2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</row>
    <row r="874" spans="1:49" ht="17.2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</row>
    <row r="875" spans="1:49" ht="17.2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</row>
    <row r="876" spans="1:49" ht="17.2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</row>
    <row r="877" spans="1:49" ht="17.2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</row>
    <row r="878" spans="1:49" ht="17.2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</row>
    <row r="879" spans="1:49" ht="17.2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</row>
    <row r="880" spans="1:49" ht="17.2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</row>
    <row r="881" spans="1:49" ht="17.2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</row>
    <row r="882" spans="1:49" ht="17.2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</row>
    <row r="883" spans="1:49" ht="17.2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</row>
    <row r="884" spans="1:49" ht="17.2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</row>
    <row r="885" spans="1:49" ht="17.2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</row>
    <row r="886" spans="1:49" ht="17.2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</row>
    <row r="887" spans="1:49" ht="17.2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</row>
    <row r="888" spans="1:49" ht="17.2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</row>
    <row r="889" spans="1:49" ht="17.2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</row>
    <row r="890" spans="1:49" ht="17.2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</row>
    <row r="891" spans="1:49" ht="17.2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</row>
    <row r="892" spans="1:49" ht="17.2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</row>
    <row r="893" spans="1:49" ht="17.2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</row>
    <row r="894" spans="1:49" ht="17.2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</row>
    <row r="895" spans="1:49" ht="17.2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</row>
    <row r="896" spans="1:49" ht="17.2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</row>
    <row r="897" spans="1:49" ht="17.2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</row>
    <row r="898" spans="1:49" ht="17.2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</row>
    <row r="899" spans="1:49" ht="17.2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</row>
    <row r="900" spans="1:49" ht="17.2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</row>
    <row r="901" spans="1:49" ht="17.2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</row>
    <row r="902" spans="1:49" ht="17.2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</row>
    <row r="903" spans="1:49" ht="17.2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</row>
    <row r="904" spans="1:49" ht="17.2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</row>
    <row r="905" spans="1:49" ht="17.2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</row>
    <row r="906" spans="1:49" ht="17.2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</row>
    <row r="907" spans="1:49" ht="17.2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</row>
    <row r="908" spans="1:49" ht="17.2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</row>
    <row r="909" spans="1:49" ht="17.2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</row>
    <row r="910" spans="1:49" ht="17.2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</row>
    <row r="911" spans="1:49" ht="17.2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</row>
    <row r="912" spans="1:49" ht="17.2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</row>
    <row r="913" spans="1:49" ht="17.2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</row>
    <row r="914" spans="1:49" ht="17.2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</row>
    <row r="915" spans="1:49" ht="17.2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</row>
    <row r="916" spans="1:49" ht="17.2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</row>
    <row r="917" spans="1:49" ht="17.2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</row>
    <row r="918" spans="1:49" ht="17.2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</row>
    <row r="919" spans="1:49" ht="17.2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</row>
    <row r="920" spans="1:49" ht="17.2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</row>
    <row r="921" spans="1:49" ht="17.2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</row>
    <row r="922" spans="1:49" ht="17.2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</row>
    <row r="923" spans="1:49" ht="17.2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</row>
    <row r="924" spans="1:49" ht="17.2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</row>
    <row r="925" spans="1:49" ht="17.2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</row>
    <row r="926" spans="1:49" ht="17.2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</row>
    <row r="927" spans="1:49" ht="17.2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</row>
    <row r="928" spans="1:49" ht="17.2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</row>
    <row r="929" spans="1:49" ht="17.2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</row>
    <row r="930" spans="1:49" ht="17.2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</row>
    <row r="931" spans="1:49" ht="17.2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</row>
    <row r="932" spans="1:49" ht="17.2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</row>
    <row r="933" spans="1:49" ht="17.2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</row>
    <row r="934" spans="1:49" ht="17.2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</row>
    <row r="935" spans="1:49" ht="17.2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</row>
    <row r="936" spans="1:49" ht="17.2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</row>
    <row r="937" spans="1:49" ht="17.2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</row>
    <row r="938" spans="1:49" ht="17.2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</row>
    <row r="939" spans="1:49" ht="17.2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</row>
    <row r="940" spans="1:49" ht="17.2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</row>
    <row r="941" spans="1:49" ht="17.2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</row>
    <row r="942" spans="1:49" ht="17.2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</row>
    <row r="943" spans="1:49" ht="17.2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</row>
    <row r="944" spans="1:49" ht="17.2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</row>
    <row r="945" spans="1:49" ht="17.2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</row>
    <row r="946" spans="1:49" ht="17.2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</row>
    <row r="947" spans="1:49" ht="17.2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</row>
    <row r="948" spans="1:49" ht="17.2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</row>
    <row r="949" spans="1:49" ht="17.2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</row>
    <row r="950" spans="1:49" ht="17.2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</row>
    <row r="951" spans="1:49" ht="17.2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</row>
    <row r="952" spans="1:49" ht="17.2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</row>
    <row r="953" spans="1:49" ht="17.2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</row>
    <row r="954" spans="1:49" ht="17.2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</row>
    <row r="955" spans="1:49" ht="17.2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</row>
    <row r="956" spans="1:49" ht="17.2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</row>
    <row r="957" spans="1:49" ht="17.2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</row>
    <row r="958" spans="1:49" ht="17.2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</row>
    <row r="959" spans="1:49" ht="17.2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</row>
    <row r="960" spans="1:49" ht="17.2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</row>
    <row r="961" spans="1:49" ht="17.2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</row>
    <row r="962" spans="1:49" ht="17.2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</row>
    <row r="963" spans="1:49" ht="17.2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</row>
    <row r="964" spans="1:49" ht="17.2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</row>
    <row r="965" spans="1:49" ht="17.2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</row>
    <row r="966" spans="1:49" ht="17.2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</row>
    <row r="967" spans="1:49" ht="17.2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</row>
    <row r="968" spans="1:49" ht="17.2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</row>
    <row r="969" spans="1:49" ht="17.2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</row>
    <row r="970" spans="1:49" ht="17.2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</row>
    <row r="971" spans="1:49" ht="17.2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</row>
    <row r="972" spans="1:49" ht="17.2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</row>
    <row r="973" spans="1:49" ht="17.2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</row>
    <row r="974" spans="1:49" ht="17.2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</row>
    <row r="975" spans="1:49" ht="17.2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</row>
    <row r="976" spans="1:49" ht="17.2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</row>
    <row r="977" spans="1:49" ht="17.2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</row>
    <row r="978" spans="1:49" ht="17.2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</row>
    <row r="979" spans="1:49" ht="17.2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</row>
    <row r="980" spans="1:49" ht="17.2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</row>
    <row r="981" spans="1:49" ht="17.2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</row>
    <row r="982" spans="1:49" ht="17.2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</row>
    <row r="983" spans="1:49" ht="17.2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</row>
    <row r="984" spans="1:49" ht="17.2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</row>
    <row r="985" spans="1:49" ht="17.2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</row>
    <row r="986" spans="1:49" ht="17.2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</row>
    <row r="987" spans="1:49" ht="17.2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</row>
    <row r="988" spans="1:49" ht="17.2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</row>
    <row r="989" spans="1:49" ht="17.2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</row>
    <row r="990" spans="1:49" ht="17.2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</row>
    <row r="991" spans="1:49" ht="17.2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</row>
    <row r="992" spans="1:49" ht="17.2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</row>
    <row r="993" spans="1:49" ht="17.2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</row>
    <row r="994" spans="1:49" ht="17.2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</row>
    <row r="995" spans="1:49" ht="17.2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</row>
    <row r="996" spans="1:49" ht="1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</row>
    <row r="997" spans="1:49" ht="1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</row>
    <row r="998" spans="1:49" ht="1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</row>
    <row r="999" spans="1:49" ht="1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</row>
    <row r="1000" spans="1:49" ht="1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</row>
    <row r="1001" spans="1:49" ht="1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</row>
    <row r="1002" spans="1:49" ht="1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</row>
    <row r="1003" spans="1:49" ht="1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</row>
    <row r="1004" spans="1:49" ht="1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</row>
    <row r="1005" spans="1:49" ht="1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</row>
    <row r="1006" spans="1:49" ht="15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</row>
    <row r="1007" spans="1:49" ht="15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</row>
    <row r="1008" spans="1:49" ht="15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</row>
    <row r="1009" spans="1:49" ht="15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</row>
    <row r="1010" spans="1:49" ht="15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</row>
    <row r="1011" spans="1:49" ht="15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</row>
    <row r="1012" spans="1:49" ht="15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</row>
    <row r="1013" spans="1:49" ht="15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</row>
    <row r="1014" spans="1:49" ht="15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</row>
    <row r="1015" spans="1:49" ht="15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</row>
    <row r="1016" spans="1:49" ht="15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</row>
    <row r="1017" spans="1:49" ht="15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</row>
    <row r="1018" spans="1:49" ht="15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</row>
    <row r="1019" spans="1:49" ht="15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</row>
    <row r="1020" spans="1:49" ht="15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</row>
    <row r="1021" spans="1:49" ht="15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</row>
    <row r="1022" spans="1:49" ht="15" customHeight="1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</row>
    <row r="1023" spans="1:49" ht="15" customHeight="1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</row>
    <row r="1024" spans="1:49" ht="15" customHeight="1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</row>
    <row r="1025" spans="1:49" ht="15" customHeight="1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</row>
    <row r="1026" spans="1:49" ht="15" customHeight="1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</row>
    <row r="1027" spans="1:49" ht="15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</row>
    <row r="1028" spans="1:49" ht="15" customHeight="1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</row>
    <row r="1029" spans="1:49" ht="15" customHeight="1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</row>
    <row r="1030" spans="1:49" ht="15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</row>
    <row r="1031" spans="1:49" ht="15" customHeight="1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</row>
    <row r="1032" spans="1:49" ht="15" customHeight="1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</row>
    <row r="1033" spans="1:49" ht="15" customHeight="1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</row>
    <row r="1034" spans="1:49" ht="15" customHeight="1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</row>
    <row r="1035" spans="1:49" ht="15" customHeight="1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</row>
    <row r="1036" spans="1:49" ht="15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</row>
    <row r="1037" spans="1:49" ht="15" customHeight="1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</row>
    <row r="1038" spans="1:49" ht="15" customHeight="1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</row>
    <row r="1039" spans="1:49" ht="15" customHeight="1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</row>
    <row r="1040" spans="1:49" ht="15" customHeight="1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</row>
    <row r="1041" spans="1:49" ht="15" customHeight="1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</row>
    <row r="1042" spans="1:49" ht="15" customHeight="1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</row>
    <row r="1043" spans="1:49" ht="15" customHeight="1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</row>
    <row r="1044" spans="1:49" ht="15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</row>
    <row r="1045" spans="1:49" ht="15" customHeight="1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</row>
    <row r="1046" spans="1:49" ht="15" customHeight="1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</row>
    <row r="1047" spans="1:49" ht="15" customHeight="1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</row>
    <row r="1048" spans="1:49" ht="15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</row>
    <row r="1049" spans="1:49" ht="15" customHeight="1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</row>
    <row r="1050" spans="1:49" ht="15" customHeight="1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</row>
    <row r="1051" spans="1:49" ht="15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</row>
    <row r="1052" spans="1:49" ht="15" customHeight="1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</row>
    <row r="1053" spans="1:49" ht="15" customHeight="1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</row>
    <row r="1054" spans="1:49" ht="15" customHeight="1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</row>
    <row r="1055" spans="1:49" ht="15" customHeight="1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</row>
    <row r="1056" spans="1:49" ht="15" customHeight="1" x14ac:dyDescent="0.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</row>
    <row r="1057" spans="1:49" ht="15" customHeight="1" x14ac:dyDescent="0.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</row>
    <row r="1058" spans="1:49" ht="15" customHeight="1" x14ac:dyDescent="0.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</row>
    <row r="1059" spans="1:49" ht="15" customHeight="1" x14ac:dyDescent="0.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</row>
    <row r="1060" spans="1:49" ht="15" customHeight="1" x14ac:dyDescent="0.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</row>
    <row r="1061" spans="1:49" ht="15" customHeight="1" x14ac:dyDescent="0.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</row>
    <row r="1062" spans="1:49" ht="15" customHeight="1" x14ac:dyDescent="0.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</row>
    <row r="1063" spans="1:49" ht="15" customHeight="1" x14ac:dyDescent="0.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</row>
    <row r="1064" spans="1:49" ht="15" customHeight="1" x14ac:dyDescent="0.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</row>
    <row r="1065" spans="1:49" ht="15" customHeight="1" x14ac:dyDescent="0.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</row>
    <row r="1066" spans="1:49" ht="15" customHeight="1" x14ac:dyDescent="0.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</row>
    <row r="1067" spans="1:49" ht="15" customHeight="1" x14ac:dyDescent="0.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</row>
    <row r="1068" spans="1:49" ht="15" customHeight="1" x14ac:dyDescent="0.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</row>
    <row r="1069" spans="1:49" ht="15" customHeight="1" x14ac:dyDescent="0.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</row>
    <row r="1070" spans="1:49" ht="15" customHeight="1" x14ac:dyDescent="0.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</row>
    <row r="1071" spans="1:49" ht="15" customHeight="1" x14ac:dyDescent="0.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</row>
    <row r="1072" spans="1:49" ht="15" customHeight="1" x14ac:dyDescent="0.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</row>
    <row r="1073" spans="1:49" ht="15" customHeight="1" x14ac:dyDescent="0.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</row>
    <row r="1074" spans="1:49" ht="15" customHeight="1" x14ac:dyDescent="0.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</row>
    <row r="1075" spans="1:49" ht="15" customHeight="1" x14ac:dyDescent="0.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</row>
    <row r="1076" spans="1:49" ht="15" customHeight="1" x14ac:dyDescent="0.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</row>
    <row r="1077" spans="1:49" ht="15" customHeight="1" x14ac:dyDescent="0.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</row>
    <row r="1078" spans="1:49" ht="15" customHeight="1" x14ac:dyDescent="0.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</row>
    <row r="1079" spans="1:49" ht="15" customHeight="1" x14ac:dyDescent="0.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</row>
    <row r="1080" spans="1:49" ht="15" customHeight="1" x14ac:dyDescent="0.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</row>
    <row r="1081" spans="1:49" ht="15" customHeight="1" x14ac:dyDescent="0.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</row>
    <row r="1082" spans="1:49" ht="15" customHeight="1" x14ac:dyDescent="0.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</row>
    <row r="1083" spans="1:49" ht="15" customHeight="1" x14ac:dyDescent="0.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</row>
    <row r="1084" spans="1:49" ht="15" customHeight="1" x14ac:dyDescent="0.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</row>
    <row r="1085" spans="1:49" ht="15" customHeight="1" x14ac:dyDescent="0.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</row>
    <row r="1086" spans="1:49" ht="15" customHeight="1" x14ac:dyDescent="0.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</row>
    <row r="1087" spans="1:49" ht="15" customHeight="1" x14ac:dyDescent="0.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</row>
    <row r="1088" spans="1:49" ht="15" customHeight="1" x14ac:dyDescent="0.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</row>
    <row r="1089" spans="1:49" ht="15" customHeight="1" x14ac:dyDescent="0.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</row>
    <row r="1090" spans="1:49" ht="15" customHeight="1" x14ac:dyDescent="0.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</row>
    <row r="1091" spans="1:49" ht="15" customHeight="1" x14ac:dyDescent="0.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</row>
    <row r="1092" spans="1:49" ht="15" customHeight="1" x14ac:dyDescent="0.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</row>
    <row r="1093" spans="1:49" ht="15" customHeight="1" x14ac:dyDescent="0.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</row>
    <row r="1094" spans="1:49" ht="15" customHeight="1" x14ac:dyDescent="0.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</row>
    <row r="1095" spans="1:49" ht="15" customHeight="1" x14ac:dyDescent="0.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</row>
    <row r="1096" spans="1:49" ht="15" customHeight="1" x14ac:dyDescent="0.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</row>
    <row r="1097" spans="1:49" ht="15" customHeight="1" x14ac:dyDescent="0.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</row>
    <row r="1098" spans="1:49" ht="15" customHeight="1" x14ac:dyDescent="0.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</row>
    <row r="1099" spans="1:49" ht="15" customHeight="1" x14ac:dyDescent="0.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</row>
    <row r="1100" spans="1:49" ht="15" customHeight="1" x14ac:dyDescent="0.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</row>
    <row r="1101" spans="1:49" ht="15" customHeight="1" x14ac:dyDescent="0.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</row>
    <row r="1102" spans="1:49" ht="15" customHeight="1" x14ac:dyDescent="0.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</row>
    <row r="1103" spans="1:49" ht="15" customHeight="1" x14ac:dyDescent="0.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</row>
    <row r="1104" spans="1:49" ht="15" customHeight="1" x14ac:dyDescent="0.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</row>
    <row r="1105" spans="1:49" ht="15" customHeight="1" x14ac:dyDescent="0.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</row>
    <row r="1106" spans="1:49" ht="15" customHeight="1" x14ac:dyDescent="0.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</row>
    <row r="1107" spans="1:49" ht="15" customHeight="1" x14ac:dyDescent="0.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</row>
    <row r="1108" spans="1:49" ht="15" customHeight="1" x14ac:dyDescent="0.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</row>
    <row r="1109" spans="1:49" ht="15" customHeight="1" x14ac:dyDescent="0.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</row>
    <row r="1110" spans="1:49" ht="15" customHeight="1" x14ac:dyDescent="0.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</row>
    <row r="1111" spans="1:49" ht="15" customHeight="1" x14ac:dyDescent="0.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</row>
    <row r="1112" spans="1:49" ht="15" customHeight="1" x14ac:dyDescent="0.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</row>
    <row r="1113" spans="1:49" ht="15" customHeight="1" x14ac:dyDescent="0.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</row>
    <row r="1114" spans="1:49" ht="15" customHeight="1" x14ac:dyDescent="0.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</row>
    <row r="1115" spans="1:49" ht="15" customHeight="1" x14ac:dyDescent="0.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</row>
    <row r="1116" spans="1:49" ht="15" customHeight="1" x14ac:dyDescent="0.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</row>
    <row r="1117" spans="1:49" ht="15" customHeight="1" x14ac:dyDescent="0.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</row>
    <row r="1118" spans="1:49" ht="15" customHeight="1" x14ac:dyDescent="0.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</row>
    <row r="1119" spans="1:49" ht="15" customHeight="1" x14ac:dyDescent="0.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</row>
    <row r="1120" spans="1:49" ht="15" customHeight="1" x14ac:dyDescent="0.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</row>
    <row r="1121" spans="1:49" ht="15" customHeight="1" x14ac:dyDescent="0.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</row>
    <row r="1122" spans="1:49" ht="15" customHeight="1" x14ac:dyDescent="0.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</row>
    <row r="1123" spans="1:49" ht="15" customHeight="1" x14ac:dyDescent="0.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</row>
    <row r="1124" spans="1:49" ht="15" customHeight="1" x14ac:dyDescent="0.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</row>
    <row r="1125" spans="1:49" ht="15" customHeight="1" x14ac:dyDescent="0.2">
      <c r="A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</row>
    <row r="1126" spans="1:49" ht="15" customHeight="1" x14ac:dyDescent="0.2">
      <c r="A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</row>
    <row r="1127" spans="1:49" ht="15" customHeight="1" x14ac:dyDescent="0.2">
      <c r="A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</row>
    <row r="1128" spans="1:49" ht="15" customHeight="1" x14ac:dyDescent="0.2">
      <c r="A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</row>
    <row r="1129" spans="1:49" ht="15" customHeight="1" x14ac:dyDescent="0.2">
      <c r="A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</row>
    <row r="1130" spans="1:49" ht="15" customHeight="1" x14ac:dyDescent="0.2">
      <c r="A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</row>
    <row r="1131" spans="1:49" ht="15" customHeight="1" x14ac:dyDescent="0.2">
      <c r="A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</row>
    <row r="1132" spans="1:49" ht="15" customHeight="1" x14ac:dyDescent="0.2">
      <c r="A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</row>
    <row r="1133" spans="1:49" ht="15" customHeight="1" x14ac:dyDescent="0.2">
      <c r="A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</row>
    <row r="1134" spans="1:49" ht="15" customHeight="1" x14ac:dyDescent="0.2">
      <c r="A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</row>
    <row r="1135" spans="1:49" ht="15" customHeight="1" x14ac:dyDescent="0.2">
      <c r="A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</row>
    <row r="1136" spans="1:49" ht="15" customHeight="1" x14ac:dyDescent="0.2">
      <c r="A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</row>
    <row r="1137" spans="1:49" ht="15" customHeight="1" x14ac:dyDescent="0.2">
      <c r="A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</row>
    <row r="1138" spans="1:49" ht="15" customHeight="1" x14ac:dyDescent="0.2">
      <c r="A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</row>
  </sheetData>
  <sheetProtection formatCells="0" formatColumns="0" formatRows="0" insertRows="0"/>
  <mergeCells count="30">
    <mergeCell ref="W13:W14"/>
    <mergeCell ref="X13:X14"/>
    <mergeCell ref="M13:M14"/>
    <mergeCell ref="N13:N14"/>
    <mergeCell ref="O13:O14"/>
    <mergeCell ref="P13:P14"/>
    <mergeCell ref="Q13:Q14"/>
    <mergeCell ref="R13:R14"/>
    <mergeCell ref="H13:I14"/>
    <mergeCell ref="S13:S14"/>
    <mergeCell ref="T13:T14"/>
    <mergeCell ref="U13:U14"/>
    <mergeCell ref="V13:V14"/>
    <mergeCell ref="L13:L14"/>
    <mergeCell ref="W3:X3"/>
    <mergeCell ref="Z13:AM13"/>
    <mergeCell ref="A18:E18"/>
    <mergeCell ref="B20:O20"/>
    <mergeCell ref="A2:A3"/>
    <mergeCell ref="A13:A14"/>
    <mergeCell ref="B2:B3"/>
    <mergeCell ref="B13:B14"/>
    <mergeCell ref="C13:C14"/>
    <mergeCell ref="D13:D14"/>
    <mergeCell ref="E13:E14"/>
    <mergeCell ref="F13:F14"/>
    <mergeCell ref="G13:G14"/>
    <mergeCell ref="J13:J14"/>
    <mergeCell ref="K13:K14"/>
    <mergeCell ref="Y13:Y14"/>
  </mergeCells>
  <dataValidations count="2">
    <dataValidation type="list" allowBlank="1" showInputMessage="1" showErrorMessage="1" sqref="E15:E16" xr:uid="{FED1D12A-C5C8-9849-AD3F-AF885790DDB6}">
      <formula1>$BA$1:$BA$8</formula1>
    </dataValidation>
    <dataValidation type="list" allowBlank="1" showInputMessage="1" showErrorMessage="1" sqref="I15:I16" xr:uid="{9312707C-4151-754A-87DE-9940FBBC509B}">
      <formula1>$AX$1:$AX$3</formula1>
    </dataValidation>
  </dataValidations>
  <hyperlinks>
    <hyperlink ref="B20" r:id="rId1" xr:uid="{F2143FC8-305F-4F49-B3FE-280FECFFCA34}"/>
  </hyperlinks>
  <pageMargins left="0.7" right="0.7" top="0.75" bottom="0.75" header="0.3" footer="0.3"/>
  <pageSetup paperSize="9" orientation="portrait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Zaira Surikova</cp:lastModifiedBy>
  <dcterms:created xsi:type="dcterms:W3CDTF">2021-12-13T17:07:00Z</dcterms:created>
  <dcterms:modified xsi:type="dcterms:W3CDTF">2025-08-18T12:28:36Z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3D073C3CF202B56E89680667D652282D_43</vt:lpwstr>
  </property>
  <property fmtid="{D5CDD505-2E9C-101B-9397-08002B2CF9AE}" pid="3" name="KSOProductBuildVer">
    <vt:lpwstr>1033-6.10.0.8196</vt:lpwstr>
  </property>
</Properties>
</file>